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3"/>
    <sheet name="Pages" sheetId="2" state="visible" r:id="rId4"/>
    <sheet name="Page Type Scores" sheetId="3" state="visible" r:id="rId5"/>
    <sheet name="Example Score Calcul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<sst xmlns="http://schemas.openxmlformats.org/spreadsheetml/2006/main" count="424" uniqueCount="227">
  <si>
    <t xml:space="preserve">Priority</t>
  </si>
  <si>
    <t xml:space="preserve">Weight</t>
  </si>
  <si>
    <t xml:space="preserve">Composite Score</t>
  </si>
  <si>
    <t xml:space="preserve">Composite Rollup Weight</t>
  </si>
  <si>
    <t xml:space="preserve">Traffic Score</t>
  </si>
  <si>
    <t xml:space="preserve">Page view volume</t>
  </si>
  <si>
    <t xml:space="preserve">15.0%</t>
  </si>
  <si>
    <t xml:space="preserve">Overall Value Score</t>
  </si>
  <si>
    <t xml:space="preserve">38%</t>
  </si>
  <si>
    <t xml:space="preserve">Business Score</t>
  </si>
  <si>
    <t xml:space="preserve">Intrinsic business value</t>
  </si>
  <si>
    <t xml:space="preserve">20.0%</t>
  </si>
  <si>
    <t xml:space="preserve">50%</t>
  </si>
  <si>
    <t xml:space="preserve">SEO Impact Score</t>
  </si>
  <si>
    <t xml:space="preserve">Anticipated value from Web Core Vitals impacts</t>
  </si>
  <si>
    <t xml:space="preserve">5.0%</t>
  </si>
  <si>
    <t xml:space="preserve">13%</t>
  </si>
  <si>
    <t xml:space="preserve">Complexity Score</t>
  </si>
  <si>
    <t xml:space="preserve">Page complexity</t>
  </si>
  <si>
    <t xml:space="preserve">10.0%</t>
  </si>
  <si>
    <t xml:space="preserve">Overall Complexity Score</t>
  </si>
  <si>
    <t xml:space="preserve">67%</t>
  </si>
  <si>
    <t xml:space="preserve">Remediation Score</t>
  </si>
  <si>
    <t xml:space="preserve">Page complexity remediation plan</t>
  </si>
  <si>
    <t xml:space="preserve">33%</t>
  </si>
  <si>
    <t xml:space="preserve">Tech Debt Score</t>
  </si>
  <si>
    <t xml:space="preserve">Reduction to tech debt</t>
  </si>
  <si>
    <t xml:space="preserve">Overall Momentum Score</t>
  </si>
  <si>
    <t xml:space="preserve">22%</t>
  </si>
  <si>
    <t xml:space="preserve">Component Score</t>
  </si>
  <si>
    <t xml:space="preserve">Commonly used components</t>
  </si>
  <si>
    <t xml:space="preserve">25.0%</t>
  </si>
  <si>
    <t xml:space="preserve">56%</t>
  </si>
  <si>
    <t xml:space="preserve">Lead-time Score</t>
  </si>
  <si>
    <t xml:space="preserve">Lead-time impact from external teams</t>
  </si>
  <si>
    <t xml:space="preserve">Qualifier</t>
  </si>
  <si>
    <t xml:space="preserve">Qualifier Description</t>
  </si>
  <si>
    <t xml:space="preserve">Composite of Traffic, Business, and SEO scores</t>
  </si>
  <si>
    <t xml:space="preserve">40.0%</t>
  </si>
  <si>
    <t xml:space="preserve">Composite of Complexity and Remediation scores</t>
  </si>
  <si>
    <t xml:space="preserve">Composite of Tech debt, Component, and Lead-time scores</t>
  </si>
  <si>
    <t xml:space="preserve">35.0%</t>
  </si>
  <si>
    <t xml:space="preserve">Page Type</t>
  </si>
  <si>
    <t xml:space="preserve">Line of Business</t>
  </si>
  <si>
    <t xml:space="preserve">URL</t>
  </si>
  <si>
    <t xml:space="preserve">Visits (6mo)</t>
  </si>
  <si>
    <t xml:space="preserve">Visitors (6mo)</t>
  </si>
  <si>
    <t xml:space="preserve">Pages (count)</t>
  </si>
  <si>
    <t xml:space="preserve">Visits Score
(50% weight)</t>
  </si>
  <si>
    <t xml:space="preserve">Visitors Score
(30% weight)</t>
  </si>
  <si>
    <t xml:space="preserve">Pages Score
(20% weight)</t>
  </si>
  <si>
    <t xml:space="preserve">Traffic Score
(Composite)</t>
  </si>
  <si>
    <t xml:space="preserve">Homepage</t>
  </si>
  <si>
    <t xml:space="preserve">Global</t>
  </si>
  <si>
    <t xml:space="preserve">/</t>
  </si>
  <si>
    <t xml:space="preserve">Top-level</t>
  </si>
  <si>
    <t xml:space="preserve">Auto</t>
  </si>
  <si>
    <t xml:space="preserve">/auto</t>
  </si>
  <si>
    <t xml:space="preserve">/auto/overview</t>
  </si>
  <si>
    <t xml:space="preserve">Bank</t>
  </si>
  <si>
    <t xml:space="preserve">/bank</t>
  </si>
  <si>
    <t xml:space="preserve">/bank/overview</t>
  </si>
  <si>
    <t xml:space="preserve">Invest</t>
  </si>
  <si>
    <t xml:space="preserve">/invest</t>
  </si>
  <si>
    <t xml:space="preserve">/invest/overview</t>
  </si>
  <si>
    <t xml:space="preserve">Mortgage</t>
  </si>
  <si>
    <t xml:space="preserve">/mortgage</t>
  </si>
  <si>
    <t xml:space="preserve">/mortgage/overview</t>
  </si>
  <si>
    <t xml:space="preserve">Credit</t>
  </si>
  <si>
    <t xml:space="preserve">/credit</t>
  </si>
  <si>
    <t xml:space="preserve">/credit/overview</t>
  </si>
  <si>
    <t xml:space="preserve">Product</t>
  </si>
  <si>
    <t xml:space="preserve">/auto/product-a</t>
  </si>
  <si>
    <t xml:space="preserve">/auto/auto-loan</t>
  </si>
  <si>
    <t xml:space="preserve">/auto/auto-refinance</t>
  </si>
  <si>
    <t xml:space="preserve">/auto/auto-lease</t>
  </si>
  <si>
    <t xml:space="preserve">/auto/used-car-loan</t>
  </si>
  <si>
    <t xml:space="preserve">/bank/product-b</t>
  </si>
  <si>
    <t xml:space="preserve">/bank/savings</t>
  </si>
  <si>
    <t xml:space="preserve">/bank/checking</t>
  </si>
  <si>
    <t xml:space="preserve">/bank/cd</t>
  </si>
  <si>
    <t xml:space="preserve">/bank/money-market</t>
  </si>
  <si>
    <t xml:space="preserve">/invest/product-c</t>
  </si>
  <si>
    <t xml:space="preserve">/invest/self-directed</t>
  </si>
  <si>
    <t xml:space="preserve">/invest/robo-portfolio</t>
  </si>
  <si>
    <t xml:space="preserve">/invest/ira</t>
  </si>
  <si>
    <t xml:space="preserve">/credit/product-d</t>
  </si>
  <si>
    <t xml:space="preserve">/credit/cash-back-card</t>
  </si>
  <si>
    <t xml:space="preserve">/credit/rewards-card</t>
  </si>
  <si>
    <t xml:space="preserve">Info</t>
  </si>
  <si>
    <t xml:space="preserve">/bank/info</t>
  </si>
  <si>
    <t xml:space="preserve">/bank/info/what-is-apr</t>
  </si>
  <si>
    <t xml:space="preserve">/bank/info/fdic-coverage</t>
  </si>
  <si>
    <t xml:space="preserve">/bank/info/savings-tips</t>
  </si>
  <si>
    <t xml:space="preserve">/invest/info</t>
  </si>
  <si>
    <t xml:space="preserve">/invest/info/what-is-etf</t>
  </si>
  <si>
    <t xml:space="preserve">/invest/info/roth-vs-traditional</t>
  </si>
  <si>
    <t xml:space="preserve">/invest/info/how-to-invest</t>
  </si>
  <si>
    <t xml:space="preserve">/invest/info/compound-interest</t>
  </si>
  <si>
    <t xml:space="preserve">Landing</t>
  </si>
  <si>
    <t xml:space="preserve">/bank/landing</t>
  </si>
  <si>
    <t xml:space="preserve">/bank/landing/high-yield-savings</t>
  </si>
  <si>
    <t xml:space="preserve">/bank/landing/online-savings-account</t>
  </si>
  <si>
    <t xml:space="preserve">/bank/landing/best-savings-rates</t>
  </si>
  <si>
    <t xml:space="preserve">/mortgage/landing</t>
  </si>
  <si>
    <t xml:space="preserve">/mortgage/landing/refinance-rates</t>
  </si>
  <si>
    <t xml:space="preserve">/mortgage/landing/home-loan-calculator</t>
  </si>
  <si>
    <t xml:space="preserve">/mortgage/landing/first-time-buyer</t>
  </si>
  <si>
    <t xml:space="preserve">Service</t>
  </si>
  <si>
    <t xml:space="preserve">/auto/service</t>
  </si>
  <si>
    <t xml:space="preserve">/auto/service/payoff-quote</t>
  </si>
  <si>
    <t xml:space="preserve">/auto/service/payment-options</t>
  </si>
  <si>
    <t xml:space="preserve">/auto/service/account-management</t>
  </si>
  <si>
    <t xml:space="preserve">/bank/service</t>
  </si>
  <si>
    <t xml:space="preserve">/bank/service/transfer-money</t>
  </si>
  <si>
    <t xml:space="preserve">/bank/service/manage-account</t>
  </si>
  <si>
    <t xml:space="preserve">/credit/service</t>
  </si>
  <si>
    <t xml:space="preserve">/credit/service/make-payment</t>
  </si>
  <si>
    <t xml:space="preserve">/credit/service/credit-limit</t>
  </si>
  <si>
    <t xml:space="preserve">Dealer</t>
  </si>
  <si>
    <t xml:space="preserve">/dealer/service</t>
  </si>
  <si>
    <t xml:space="preserve">/dealer/service/find-dealer</t>
  </si>
  <si>
    <t xml:space="preserve">/dealer/service/dealer-portal</t>
  </si>
  <si>
    <t xml:space="preserve">/dealer/service/floorplan</t>
  </si>
  <si>
    <t xml:space="preserve">/service</t>
  </si>
  <si>
    <t xml:space="preserve">/service/contact-us</t>
  </si>
  <si>
    <t xml:space="preserve">/service/accessibility</t>
  </si>
  <si>
    <t xml:space="preserve">Rates</t>
  </si>
  <si>
    <t xml:space="preserve">/bank/rates</t>
  </si>
  <si>
    <t xml:space="preserve">/bank/rates/savings-rates</t>
  </si>
  <si>
    <t xml:space="preserve">/bank/rates/cd-rates</t>
  </si>
  <si>
    <t xml:space="preserve">/bank/rates/money-market-rates</t>
  </si>
  <si>
    <t xml:space="preserve">Closer Look</t>
  </si>
  <si>
    <t xml:space="preserve">/invest/closer-look</t>
  </si>
  <si>
    <t xml:space="preserve">/invest/closer-look/portfolio-review</t>
  </si>
  <si>
    <t xml:space="preserve">/invest/closer-look/market-insights</t>
  </si>
  <si>
    <t xml:space="preserve">/invest/closer-look/performance-report</t>
  </si>
  <si>
    <t xml:space="preserve">/invest/closer-look/asset-allocation</t>
  </si>
  <si>
    <t xml:space="preserve">Security</t>
  </si>
  <si>
    <t xml:space="preserve">/security</t>
  </si>
  <si>
    <t xml:space="preserve">/security/fraud-protection</t>
  </si>
  <si>
    <t xml:space="preserve">/security/privacy-policy</t>
  </si>
  <si>
    <t xml:space="preserve">/security/two-factor-auth</t>
  </si>
  <si>
    <t xml:space="preserve">Careers</t>
  </si>
  <si>
    <t xml:space="preserve">Corporate</t>
  </si>
  <si>
    <t xml:space="preserve">/corporate/careers</t>
  </si>
  <si>
    <t xml:space="preserve">/corporate/careers/open-roles</t>
  </si>
  <si>
    <t xml:space="preserve">/corporate/careers/life-at-fintech</t>
  </si>
  <si>
    <t xml:space="preserve">/corporate/careers/benefits</t>
  </si>
  <si>
    <t xml:space="preserve">Legal</t>
  </si>
  <si>
    <t xml:space="preserve">/invest/legal</t>
  </si>
  <si>
    <t xml:space="preserve">/invest/legal/disclosures</t>
  </si>
  <si>
    <t xml:space="preserve">/invest/legal/terms-of-service</t>
  </si>
  <si>
    <t xml:space="preserve">IR</t>
  </si>
  <si>
    <t xml:space="preserve">/corporate/ir</t>
  </si>
  <si>
    <t xml:space="preserve">/corporate/ir/annual-report</t>
  </si>
  <si>
    <t xml:space="preserve">/corporate/ir/earnings</t>
  </si>
  <si>
    <t xml:space="preserve">/corporate/ir/press-releases</t>
  </si>
  <si>
    <t xml:space="preserve">/corporate/ir/investor-presentations</t>
  </si>
  <si>
    <t xml:space="preserve">System</t>
  </si>
  <si>
    <t xml:space="preserve">Site</t>
  </si>
  <si>
    <t xml:space="preserve">/site/system</t>
  </si>
  <si>
    <t xml:space="preserve">/site/system/style-guide</t>
  </si>
  <si>
    <t xml:space="preserve">/site/system/component-library</t>
  </si>
  <si>
    <t xml:space="preserve">/site/system/templates</t>
  </si>
  <si>
    <t xml:space="preserve">Page Type + LOB</t>
  </si>
  <si>
    <t xml:space="preserve">Pages</t>
  </si>
  <si>
    <t xml:space="preserve">Traffic
Score</t>
  </si>
  <si>
    <t xml:space="preserve">Business
Score</t>
  </si>
  <si>
    <t xml:space="preserve">SEO Impact
Score</t>
  </si>
  <si>
    <t xml:space="preserve">Complexity
Score</t>
  </si>
  <si>
    <t xml:space="preserve">Remediation
Score</t>
  </si>
  <si>
    <t xml:space="preserve">Tech Debt
Score</t>
  </si>
  <si>
    <t xml:space="preserve">Component
Score</t>
  </si>
  <si>
    <t xml:space="preserve">Lead-time
Score</t>
  </si>
  <si>
    <t xml:space="preserve">Overall Value
Score</t>
  </si>
  <si>
    <t xml:space="preserve">Overall Complexity
Score</t>
  </si>
  <si>
    <t xml:space="preserve">Overall Momentum
Score</t>
  </si>
  <si>
    <t xml:space="preserve">Migration
Score</t>
  </si>
  <si>
    <t xml:space="preserve">Homepage - Global</t>
  </si>
  <si>
    <t xml:space="preserve">Top-level - Auto</t>
  </si>
  <si>
    <t xml:space="preserve">Product - Invest</t>
  </si>
  <si>
    <t xml:space="preserve">Info - Bank</t>
  </si>
  <si>
    <t xml:space="preserve">Service - Credit</t>
  </si>
  <si>
    <t xml:space="preserve">Top-level - Invest</t>
  </si>
  <si>
    <t xml:space="preserve">Closer Look - Invest</t>
  </si>
  <si>
    <t xml:space="preserve">Security - Global</t>
  </si>
  <si>
    <t xml:space="preserve">Rates - Bank</t>
  </si>
  <si>
    <t xml:space="preserve">Product - Bank</t>
  </si>
  <si>
    <t xml:space="preserve">Top-level - Mortgage</t>
  </si>
  <si>
    <t xml:space="preserve">Info - Invest</t>
  </si>
  <si>
    <t xml:space="preserve">Service - Dealer</t>
  </si>
  <si>
    <t xml:space="preserve">Product - Auto</t>
  </si>
  <si>
    <t xml:space="preserve">Top-level - Corporate</t>
  </si>
  <si>
    <t xml:space="preserve">Service - Auto</t>
  </si>
  <si>
    <t xml:space="preserve">Legal - Invest</t>
  </si>
  <si>
    <t xml:space="preserve">Landing - Mortgage</t>
  </si>
  <si>
    <t xml:space="preserve">Top-level - Credit</t>
  </si>
  <si>
    <t xml:space="preserve">System - Site</t>
  </si>
  <si>
    <t xml:space="preserve">Service - Bank</t>
  </si>
  <si>
    <t xml:space="preserve">Careers - Corporate</t>
  </si>
  <si>
    <t xml:space="preserve">Top-level - Bank</t>
  </si>
  <si>
    <t xml:space="preserve">Product - Credit</t>
  </si>
  <si>
    <t xml:space="preserve">Landing - Bank</t>
  </si>
  <si>
    <t xml:space="preserve">IR - Corporate</t>
  </si>
  <si>
    <t xml:space="preserve">Top-level - Dealer</t>
  </si>
  <si>
    <t xml:space="preserve">Service - Global</t>
  </si>
  <si>
    <t xml:space="preserve">Example Migration Score Calculation</t>
  </si>
  <si>
    <t xml:space="preserve">Notes</t>
  </si>
  <si>
    <t xml:space="preserve">Score</t>
  </si>
  <si>
    <t xml:space="preserve">Traffic Score - Page view volume</t>
  </si>
  <si>
    <t xml:space="preserve">Calculated based on volume of Visits (50%), Visitors (30%), and Pages (20%)
5: Most impact based on last 6mo of data
1: Least impact based on last 6mo of data</t>
  </si>
  <si>
    <t xml:space="preserve">Business Score - Intrinsic business value</t>
  </si>
  <si>
    <t xml:space="preserve">5: High value driver to business
1: Low value driver to business</t>
  </si>
  <si>
    <t xml:space="preserve">SEO Score - Anticipated value from Web Core Vitals impacts</t>
  </si>
  <si>
    <t xml:space="preserve">5: High improvement to web-core vitals
1: Low improvement to web-core vitals</t>
  </si>
  <si>
    <t xml:space="preserve">Complexity Score - Page complexity</t>
  </si>
  <si>
    <t xml:space="preserve">5: Least complex and/or Higher LOE
1: Most complex and/or Lower LOE</t>
  </si>
  <si>
    <t xml:space="preserve">Remediation Score - Page complexity remediation plan</t>
  </si>
  <si>
    <t xml:space="preserve">5: High Confidence and/or Lower LOE
1: Low Confidence and/or Higher LOE</t>
  </si>
  <si>
    <t xml:space="preserve">Tech Debt Score - Reduction to tech debt</t>
  </si>
  <si>
    <t xml:space="preserve">5: Most reduction/impact to tech debt
1: Least reduction/impact to tech debt</t>
  </si>
  <si>
    <t xml:space="preserve">Component Score - Commonly used components</t>
  </si>
  <si>
    <t xml:space="preserve">5: Higher number of common components
1: Lower number of common components</t>
  </si>
  <si>
    <t xml:space="preserve">Lead-time Score - Lead-time impact from external teams</t>
  </si>
  <si>
    <t xml:space="preserve">5: Fast lead-time/Fewer dependencies
1: Slow lead-time/Many dependencies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</si>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</sst>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"/>
    <numFmt numFmtId="168" formatCode="0.00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555555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i val="true"/>
      <sz val="10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6B2C8A"/>
        <bgColor rgb="FF993366"/>
      </patternFill>
    </fill>
    <fill>
      <patternFill patternType="solid">
        <fgColor rgb="FFE8D5F0"/>
        <bgColor rgb="FFEAE0F5"/>
      </patternFill>
    </fill>
    <fill>
      <patternFill patternType="solid">
        <fgColor rgb="FFD5E8F0"/>
        <bgColor rgb="FFD5F0E0"/>
      </patternFill>
    </fill>
    <fill>
      <patternFill patternType="solid">
        <fgColor rgb="FFD5F0E0"/>
        <bgColor rgb="FFD5E8F0"/>
      </patternFill>
    </fill>
    <fill>
      <patternFill patternType="solid">
        <fgColor rgb="FFF0E8F8"/>
        <bgColor rgb="FFF0EBF5"/>
      </patternFill>
    </fill>
    <fill>
      <patternFill patternType="solid">
        <fgColor rgb="FFD9C8E8"/>
        <bgColor rgb="FFCCCCCC"/>
      </patternFill>
    </fill>
    <fill>
      <patternFill patternType="solid">
        <fgColor rgb="FFFAFAFA"/>
        <bgColor rgb="FFFFFFFF"/>
      </patternFill>
    </fill>
    <fill>
      <patternFill patternType="solid">
        <fgColor rgb="FFEAE0F5"/>
        <bgColor rgb="FFF0E8F8"/>
      </patternFill>
    </fill>
    <fill>
      <patternFill patternType="solid">
        <fgColor rgb="FFF0EBF5"/>
        <bgColor rgb="FFF0E8F8"/>
      </patternFill>
    </fill>
    <fill>
      <patternFill patternType="solid">
        <fgColor rgb="FFC9A8D8"/>
        <bgColor rgb="FFD9C8E8"/>
      </patternFill>
    </fill>
    <fill>
      <patternFill patternType="solid">
        <fgColor rgb="FFA8C4D8"/>
        <bgColor rgb="FFA8D8B4"/>
      </patternFill>
    </fill>
    <fill>
      <patternFill patternType="solid">
        <fgColor rgb="FFA8D8B4"/>
        <bgColor rgb="FFA8C4D8"/>
      </patternFill>
    </fill>
    <fill>
      <patternFill patternType="solid">
        <fgColor rgb="FFFFFFFF"/>
        <bgColor rgb="FFFAFAFA"/>
      </patternFill>
    </fill>
    <fill>
      <patternFill patternType="solid">
        <fgColor rgb="FFC8D9E8"/>
        <bgColor rgb="FFC8E8D2"/>
      </patternFill>
    </fill>
    <fill>
      <patternFill patternType="solid">
        <fgColor rgb="FFC8E8D2"/>
        <bgColor rgb="FFD5F0E0"/>
      </patternFill>
    </fill>
    <fill>
      <patternFill patternType="solid">
        <fgColor rgb="FFF2F2F2"/>
        <bgColor rgb="FFF0EB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9370DB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EB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370DB"/>
      <rgbColor rgb="FF6B2C8A"/>
      <rgbColor rgb="FFFAFAFA"/>
      <rgbColor rgb="FFD5E8F0"/>
      <rgbColor rgb="FF660066"/>
      <rgbColor rgb="FFFF8080"/>
      <rgbColor rgb="FF0066CC"/>
      <rgbColor rgb="FFD9C8E8"/>
      <rgbColor rgb="FF000080"/>
      <rgbColor rgb="FFFF00FF"/>
      <rgbColor rgb="FFF0E8F8"/>
      <rgbColor rgb="FF00FFFF"/>
      <rgbColor rgb="FF800080"/>
      <rgbColor rgb="FF800000"/>
      <rgbColor rgb="FF008080"/>
      <rgbColor rgb="FF0000FF"/>
      <rgbColor rgb="FF00CCFF"/>
      <rgbColor rgb="FFC8E8D2"/>
      <rgbColor rgb="FFD5F0E0"/>
      <rgbColor rgb="FFF2F2F2"/>
      <rgbColor rgb="FFA8C4D8"/>
      <rgbColor rgb="FFEAE0F5"/>
      <rgbColor rgb="FFC9A8D8"/>
      <rgbColor rgb="FFE8D5F0"/>
      <rgbColor rgb="FF3366FF"/>
      <rgbColor rgb="FF33CCCC"/>
      <rgbColor rgb="FFC8D9E8"/>
      <rgbColor rgb="FFFFCC00"/>
      <rgbColor rgb="FFFF9900"/>
      <rgbColor rgb="FFFF6600"/>
      <rgbColor rgb="FF555555"/>
      <rgbColor rgb="FFA8D8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6" min="5" style="1" width="24"/>
    <col collapsed="false" customWidth="true" hidden="false" outlineLevel="0" max="7" min="7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</row>
    <row r="2" customFormat="false" ht="15" hidden="false" customHeight="true" outlineLevel="0" collapsed="false">
      <c r="A2" s="3" t="n">
        <v>7</v>
      </c>
      <c r="B2" s="4" t="s">
        <v>4</v>
      </c>
      <c r="C2" s="4" t="s">
        <v>5</v>
      </c>
      <c r="D2" s="3" t="s">
        <v>6</v>
      </c>
      <c r="E2" s="3" t="s">
        <v>7</v>
      </c>
      <c r="F2" s="3" t="s">
        <v>8</v>
      </c>
    </row>
    <row r="3" customFormat="false" ht="34.5" hidden="false" customHeight="true" outlineLevel="0" collapsed="false">
      <c r="A3" s="3" t="n">
        <v>1</v>
      </c>
      <c r="B3" s="4" t="s">
        <v>9</v>
      </c>
      <c r="C3" s="4" t="s">
        <v>10</v>
      </c>
      <c r="D3" s="3" t="s">
        <v>11</v>
      </c>
      <c r="E3" s="3" t="s">
        <v>7</v>
      </c>
      <c r="F3" s="3" t="s">
        <v>12</v>
      </c>
    </row>
    <row r="4" customFormat="false" ht="34.5" hidden="false" customHeight="true" outlineLevel="0" collapsed="false">
      <c r="A4" s="3" t="n">
        <v>4</v>
      </c>
      <c r="B4" s="4" t="s">
        <v>13</v>
      </c>
      <c r="C4" s="4" t="s">
        <v>14</v>
      </c>
      <c r="D4" s="3" t="s">
        <v>15</v>
      </c>
      <c r="E4" s="3" t="s">
        <v>7</v>
      </c>
      <c r="F4" s="3" t="s">
        <v>16</v>
      </c>
    </row>
    <row r="5" customFormat="false" ht="23.25" hidden="false" customHeight="true" outlineLevel="0" collapsed="false">
      <c r="A5" s="5" t="n">
        <v>3</v>
      </c>
      <c r="B5" s="6" t="s">
        <v>17</v>
      </c>
      <c r="C5" s="6" t="s">
        <v>18</v>
      </c>
      <c r="D5" s="5" t="s">
        <v>19</v>
      </c>
      <c r="E5" s="5" t="s">
        <v>20</v>
      </c>
      <c r="F5" s="5" t="s">
        <v>21</v>
      </c>
    </row>
    <row r="6" customFormat="false" ht="23.25" hidden="false" customHeight="true" outlineLevel="0" collapsed="false">
      <c r="A6" s="5" t="n">
        <v>5</v>
      </c>
      <c r="B6" s="6" t="s">
        <v>22</v>
      </c>
      <c r="C6" s="6" t="s">
        <v>23</v>
      </c>
      <c r="D6" s="5" t="s">
        <v>15</v>
      </c>
      <c r="E6" s="5" t="s">
        <v>20</v>
      </c>
      <c r="F6" s="5" t="s">
        <v>24</v>
      </c>
    </row>
    <row r="7" customFormat="false" ht="34.5" hidden="false" customHeight="true" outlineLevel="0" collapsed="false">
      <c r="A7" s="7" t="n">
        <v>6</v>
      </c>
      <c r="B7" s="8" t="s">
        <v>25</v>
      </c>
      <c r="C7" s="8" t="s">
        <v>26</v>
      </c>
      <c r="D7" s="7" t="s">
        <v>19</v>
      </c>
      <c r="E7" s="7" t="s">
        <v>27</v>
      </c>
      <c r="F7" s="7" t="s">
        <v>28</v>
      </c>
    </row>
    <row r="8" customFormat="false" ht="34.5" hidden="false" customHeight="true" outlineLevel="0" collapsed="false">
      <c r="A8" s="7" t="n">
        <v>2</v>
      </c>
      <c r="B8" s="8" t="s">
        <v>29</v>
      </c>
      <c r="C8" s="8" t="s">
        <v>30</v>
      </c>
      <c r="D8" s="7" t="s">
        <v>31</v>
      </c>
      <c r="E8" s="7" t="s">
        <v>27</v>
      </c>
      <c r="F8" s="7" t="s">
        <v>32</v>
      </c>
    </row>
    <row r="9" customFormat="false" ht="15" hidden="false" customHeight="true" outlineLevel="0" collapsed="false">
      <c r="A9" s="7" t="n">
        <v>8</v>
      </c>
      <c r="B9" s="8" t="s">
        <v>33</v>
      </c>
      <c r="C9" s="8" t="s">
        <v>34</v>
      </c>
      <c r="D9" s="7" t="s">
        <v>19</v>
      </c>
      <c r="E9" s="7" t="s">
        <v>27</v>
      </c>
      <c r="F9" s="7" t="s">
        <v>28</v>
      </c>
    </row>
    <row r="10" customFormat="false" ht="27.75" hidden="false" customHeight="tru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27.75" hidden="false" customHeight="true" outlineLevel="0" collapsed="false">
      <c r="A14" s="2" t="s">
        <v>0</v>
      </c>
      <c r="B14" s="2" t="s">
        <v>35</v>
      </c>
      <c r="C14" s="2" t="s">
        <v>36</v>
      </c>
      <c r="D14" s="2" t="s">
        <v>1</v>
      </c>
    </row>
    <row r="15" customFormat="false" ht="15" hidden="false" customHeight="true" outlineLevel="0" collapsed="false">
      <c r="A15" s="10" t="n">
        <v>1</v>
      </c>
      <c r="B15" s="11" t="s">
        <v>7</v>
      </c>
      <c r="C15" s="11" t="s">
        <v>37</v>
      </c>
      <c r="D15" s="10" t="s">
        <v>38</v>
      </c>
    </row>
    <row r="16" customFormat="false" ht="15" hidden="false" customHeight="true" outlineLevel="0" collapsed="false">
      <c r="A16" s="3" t="n">
        <v>2</v>
      </c>
      <c r="B16" s="4" t="s">
        <v>20</v>
      </c>
      <c r="C16" s="4" t="s">
        <v>39</v>
      </c>
      <c r="D16" s="3" t="s">
        <v>31</v>
      </c>
    </row>
    <row r="17" customFormat="false" ht="15" hidden="false" customHeight="true" outlineLevel="0" collapsed="false">
      <c r="A17" s="10" t="n">
        <v>3</v>
      </c>
      <c r="B17" s="11" t="s">
        <v>27</v>
      </c>
      <c r="C17" s="11" t="s">
        <v>40</v>
      </c>
      <c r="D17" s="10" t="s">
        <v>41</v>
      </c>
    </row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>
      <c r="A20" s="9"/>
      <c r="B20" s="9"/>
      <c r="C20" s="9"/>
    </row>
  </sheetData>
  <mergeCells count="3">
    <mergeCell ref="A1:C1"/>
    <mergeCell ref="A10:G10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5" min="4" style="1" width="14"/>
    <col collapsed="false" customWidth="true" hidden="false" outlineLevel="0" max="6" min="6" style="1" width="13"/>
    <col collapsed="false" customWidth="true" hidden="false" outlineLevel="0" max="10" min="7" style="1" width="15"/>
  </cols>
  <sheetData>
    <row r="1" customFormat="false" ht="39.75" hidden="false" customHeight="true" outlineLevel="0" collapsed="false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</row>
    <row r="2" customFormat="false" ht="15" hidden="false" customHeight="true" outlineLevel="0" collapsed="false">
      <c r="A2" s="12" t="s">
        <v>52</v>
      </c>
      <c r="B2" s="12" t="s">
        <v>53</v>
      </c>
      <c r="C2" s="12" t="s">
        <v>54</v>
      </c>
      <c r="D2" s="13" t="n">
        <v>42000</v>
      </c>
      <c r="E2" s="13" t="n">
        <v>38000</v>
      </c>
      <c r="F2" s="14" t="n">
        <v>1</v>
      </c>
      <c r="G2" s="15" t="n">
        <f aca="false">IF(D2=0,0,IF(D2&lt;6000,1,IF(D2&lt;12000,2,IF(D2&lt;20000,3,IF(D2&lt;35000,4,5)))))</f>
        <v>5</v>
      </c>
      <c r="H2" s="15" t="n">
        <f aca="false">IF(E2=0,0,IF(E2&lt;5000,1,IF(E2&lt;10000,2,IF(E2&lt;17000,3,IF(E2&lt;30000,4,5)))))</f>
        <v>5</v>
      </c>
      <c r="I2" s="15" t="n">
        <f aca="false">IF(F2=0,0,IF(F2&lt;=1,1,IF(F2&lt;=3,2,IF(F2&lt;=6,3,IF(F2&lt;=12,4,5)))))</f>
        <v>1</v>
      </c>
      <c r="J2" s="16" t="n">
        <f aca="false">ROUND((G2*0.5)+(H2*0.3)+(I2*0.2),1)</f>
        <v>4.2</v>
      </c>
    </row>
    <row r="3" customFormat="false" ht="15" hidden="false" customHeight="true" outlineLevel="0" collapsed="false">
      <c r="A3" s="12" t="s">
        <v>55</v>
      </c>
      <c r="B3" s="12" t="s">
        <v>56</v>
      </c>
      <c r="C3" s="12" t="s">
        <v>57</v>
      </c>
      <c r="D3" s="13" t="n">
        <v>18500</v>
      </c>
      <c r="E3" s="13" t="n">
        <v>15200</v>
      </c>
      <c r="F3" s="14" t="n">
        <v>2</v>
      </c>
      <c r="G3" s="15" t="n">
        <f aca="false">IF(D5=0,0,IF(D5&lt;6000,1,IF(D5&lt;12000,2,IF(D5&lt;20000,3,IF(D5&lt;35000,4,5)))))</f>
        <v>2</v>
      </c>
      <c r="H3" s="15" t="n">
        <f aca="false">IF(E5=0,0,IF(E5&lt;5000,1,IF(E5&lt;10000,2,IF(E5&lt;17000,3,IF(E5&lt;30000,4,5)))))</f>
        <v>2</v>
      </c>
      <c r="I3" s="15" t="n">
        <f aca="false">IF(F5=0,0,IF(F5&lt;=1,1,IF(F5&lt;=3,2,IF(F5&lt;=6,3,IF(F5&lt;=12,4,5)))))</f>
        <v>1</v>
      </c>
      <c r="J3" s="16" t="n">
        <f aca="false">ROUND((G5*0.5)+(H5*0.3)+(I5*0.2),1)</f>
        <v>2.6</v>
      </c>
    </row>
    <row r="4" customFormat="false" ht="15" hidden="false" customHeight="true" outlineLevel="0" collapsed="false">
      <c r="A4" s="17" t="s">
        <v>55</v>
      </c>
      <c r="B4" s="17" t="s">
        <v>56</v>
      </c>
      <c r="C4" s="17" t="s">
        <v>57</v>
      </c>
      <c r="D4" s="18" t="n">
        <v>10200</v>
      </c>
      <c r="E4" s="18" t="n">
        <v>8400</v>
      </c>
      <c r="F4" s="19" t="n">
        <v>1</v>
      </c>
      <c r="G4" s="20" t="n">
        <f aca="false">IF(D6=0,0,IF(D6&lt;6000,1,IF(D6&lt;12000,2,IF(D6&lt;20000,3,IF(D6&lt;35000,4,5)))))</f>
        <v>4</v>
      </c>
      <c r="H4" s="20" t="n">
        <f aca="false">IF(E6=0,0,IF(E6&lt;5000,1,IF(E6&lt;10000,2,IF(E6&lt;17000,3,IF(E6&lt;30000,4,5)))))</f>
        <v>4</v>
      </c>
      <c r="I4" s="20" t="n">
        <f aca="false">IF(F6=0,0,IF(F6&lt;=1,1,IF(F6&lt;=3,2,IF(F6&lt;=6,3,IF(F6&lt;=12,4,5)))))</f>
        <v>2</v>
      </c>
      <c r="J4" s="21" t="n">
        <f aca="false">ROUND((G6*0.5)+(H6*0.3)+(I6*0.2),1)</f>
        <v>1.8</v>
      </c>
    </row>
    <row r="5" customFormat="false" ht="15" hidden="false" customHeight="true" outlineLevel="0" collapsed="false">
      <c r="A5" s="22" t="s">
        <v>55</v>
      </c>
      <c r="B5" s="22" t="s">
        <v>56</v>
      </c>
      <c r="C5" s="22" t="s">
        <v>58</v>
      </c>
      <c r="D5" s="23" t="n">
        <v>8300</v>
      </c>
      <c r="E5" s="23" t="n">
        <v>6800</v>
      </c>
      <c r="F5" s="24" t="n">
        <v>1</v>
      </c>
      <c r="G5" s="20" t="n">
        <f aca="false">IF(D7=0,0,IF(D7&lt;6000,1,IF(D7&lt;12000,2,IF(D7&lt;20000,3,IF(D7&lt;35000,4,5)))))</f>
        <v>3</v>
      </c>
      <c r="H5" s="20" t="n">
        <f aca="false">IF(E7=0,0,IF(E7&lt;5000,1,IF(E7&lt;10000,2,IF(E7&lt;17000,3,IF(E7&lt;30000,4,5)))))</f>
        <v>3</v>
      </c>
      <c r="I5" s="20" t="n">
        <f aca="false">IF(F7=0,0,IF(F7&lt;=1,1,IF(F7&lt;=3,2,IF(F7&lt;=6,3,IF(F7&lt;=12,4,5)))))</f>
        <v>1</v>
      </c>
      <c r="J5" s="21" t="n">
        <f aca="false">ROUND((G7*0.5)+(H7*0.3)+(I7*0.2),1)</f>
        <v>2.8</v>
      </c>
    </row>
    <row r="6" customFormat="false" ht="15" hidden="false" customHeight="true" outlineLevel="0" collapsed="false">
      <c r="A6" s="12" t="s">
        <v>55</v>
      </c>
      <c r="B6" s="12" t="s">
        <v>59</v>
      </c>
      <c r="C6" s="12" t="s">
        <v>60</v>
      </c>
      <c r="D6" s="13" t="n">
        <v>22000</v>
      </c>
      <c r="E6" s="13" t="n">
        <v>19800</v>
      </c>
      <c r="F6" s="14" t="n">
        <v>2</v>
      </c>
      <c r="G6" s="15" t="n">
        <f aca="false">IF(D8=0,0,IF(D8&lt;6000,1,IF(D8&lt;12000,2,IF(D8&lt;20000,3,IF(D8&lt;35000,4,5)))))</f>
        <v>2</v>
      </c>
      <c r="H6" s="15" t="n">
        <f aca="false">IF(E8=0,0,IF(E8&lt;5000,1,IF(E8&lt;10000,2,IF(E8&lt;17000,3,IF(E8&lt;30000,4,5)))))</f>
        <v>2</v>
      </c>
      <c r="I6" s="15" t="n">
        <f aca="false">IF(F8=0,0,IF(F8&lt;=1,1,IF(F8&lt;=3,2,IF(F8&lt;=6,3,IF(F8&lt;=12,4,5)))))</f>
        <v>1</v>
      </c>
      <c r="J6" s="16" t="n">
        <f aca="false">ROUND((G8*0.5)+(H8*0.3)+(I8*0.2),1)</f>
        <v>1.8</v>
      </c>
    </row>
    <row r="7" customFormat="false" ht="15" hidden="false" customHeight="true" outlineLevel="0" collapsed="false">
      <c r="A7" s="17" t="s">
        <v>55</v>
      </c>
      <c r="B7" s="17" t="s">
        <v>59</v>
      </c>
      <c r="C7" s="17" t="s">
        <v>60</v>
      </c>
      <c r="D7" s="18" t="n">
        <v>12500</v>
      </c>
      <c r="E7" s="18" t="n">
        <v>11200</v>
      </c>
      <c r="F7" s="19" t="n">
        <v>1</v>
      </c>
      <c r="G7" s="20" t="n">
        <f aca="false">IF(D9=0,0,IF(D9&lt;6000,1,IF(D9&lt;12000,2,IF(D9&lt;20000,3,IF(D9&lt;35000,4,5)))))</f>
        <v>3</v>
      </c>
      <c r="H7" s="20" t="n">
        <f aca="false">IF(E9=0,0,IF(E9&lt;5000,1,IF(E9&lt;10000,2,IF(E9&lt;17000,3,IF(E9&lt;30000,4,5)))))</f>
        <v>3</v>
      </c>
      <c r="I7" s="20" t="n">
        <f aca="false">IF(F9=0,0,IF(F9&lt;=1,1,IF(F9&lt;=3,2,IF(F9&lt;=6,3,IF(F9&lt;=12,4,5)))))</f>
        <v>2</v>
      </c>
      <c r="J7" s="21" t="n">
        <f aca="false">ROUND((G9*0.5)+(H9*0.3)+(I9*0.2),1)</f>
        <v>1.8</v>
      </c>
    </row>
    <row r="8" customFormat="false" ht="15" hidden="false" customHeight="true" outlineLevel="0" collapsed="false">
      <c r="A8" s="22" t="s">
        <v>55</v>
      </c>
      <c r="B8" s="22" t="s">
        <v>59</v>
      </c>
      <c r="C8" s="22" t="s">
        <v>61</v>
      </c>
      <c r="D8" s="23" t="n">
        <v>9500</v>
      </c>
      <c r="E8" s="23" t="n">
        <v>8600</v>
      </c>
      <c r="F8" s="24" t="n">
        <v>1</v>
      </c>
      <c r="G8" s="20" t="n">
        <f aca="false">IF(D10=0,0,IF(D10&lt;6000,1,IF(D10&lt;12000,2,IF(D10&lt;20000,3,IF(D10&lt;35000,4,5)))))</f>
        <v>2</v>
      </c>
      <c r="H8" s="20" t="n">
        <f aca="false">IF(E10=0,0,IF(E10&lt;5000,1,IF(E10&lt;10000,2,IF(E10&lt;17000,3,IF(E10&lt;30000,4,5)))))</f>
        <v>2</v>
      </c>
      <c r="I8" s="20" t="n">
        <f aca="false">IF(F10=0,0,IF(F10&lt;=1,1,IF(F10&lt;=3,2,IF(F10&lt;=6,3,IF(F10&lt;=12,4,5)))))</f>
        <v>1</v>
      </c>
      <c r="J8" s="21" t="n">
        <f aca="false">ROUND((G10*0.5)+(H10*0.3)+(I10*0.2),1)</f>
        <v>2</v>
      </c>
    </row>
    <row r="9" customFormat="false" ht="15" hidden="false" customHeight="true" outlineLevel="0" collapsed="false">
      <c r="A9" s="12" t="s">
        <v>55</v>
      </c>
      <c r="B9" s="12" t="s">
        <v>62</v>
      </c>
      <c r="C9" s="12" t="s">
        <v>63</v>
      </c>
      <c r="D9" s="13" t="n">
        <v>14200</v>
      </c>
      <c r="E9" s="13" t="n">
        <v>12600</v>
      </c>
      <c r="F9" s="14" t="n">
        <v>2</v>
      </c>
      <c r="G9" s="15" t="n">
        <f aca="false">IF(D11=0,0,IF(D11&lt;6000,1,IF(D11&lt;12000,2,IF(D11&lt;20000,3,IF(D11&lt;35000,4,5)))))</f>
        <v>2</v>
      </c>
      <c r="H9" s="15" t="n">
        <f aca="false">IF(E11=0,0,IF(E11&lt;5000,1,IF(E11&lt;10000,2,IF(E11&lt;17000,3,IF(E11&lt;30000,4,5)))))</f>
        <v>2</v>
      </c>
      <c r="I9" s="15" t="n">
        <f aca="false">IF(F11=0,0,IF(F11&lt;=1,1,IF(F11&lt;=3,2,IF(F11&lt;=6,3,IF(F11&lt;=12,4,5)))))</f>
        <v>1</v>
      </c>
      <c r="J9" s="16" t="n">
        <f aca="false">ROUND((G11*0.5)+(H11*0.3)+(I11*0.2),1)</f>
        <v>1.3</v>
      </c>
    </row>
    <row r="10" customFormat="false" ht="15" hidden="false" customHeight="true" outlineLevel="0" collapsed="false">
      <c r="A10" s="17" t="s">
        <v>55</v>
      </c>
      <c r="B10" s="17" t="s">
        <v>62</v>
      </c>
      <c r="C10" s="17" t="s">
        <v>63</v>
      </c>
      <c r="D10" s="18" t="n">
        <v>8100</v>
      </c>
      <c r="E10" s="18" t="n">
        <v>7100</v>
      </c>
      <c r="F10" s="19" t="n">
        <v>1</v>
      </c>
      <c r="G10" s="20" t="n">
        <f aca="false">IF(D12=0,0,IF(D12&lt;6000,1,IF(D12&lt;12000,2,IF(D12&lt;20000,3,IF(D12&lt;35000,4,5)))))</f>
        <v>2</v>
      </c>
      <c r="H10" s="20" t="n">
        <f aca="false">IF(E12=0,0,IF(E12&lt;5000,1,IF(E12&lt;10000,2,IF(E12&lt;17000,3,IF(E12&lt;30000,4,5)))))</f>
        <v>2</v>
      </c>
      <c r="I10" s="20" t="n">
        <f aca="false">IF(F12=0,0,IF(F12&lt;=1,1,IF(F12&lt;=3,2,IF(F12&lt;=6,3,IF(F12&lt;=12,4,5)))))</f>
        <v>2</v>
      </c>
      <c r="J10" s="21" t="n">
        <f aca="false">ROUND((G12*0.5)+(H12*0.3)+(I12*0.2),1)</f>
        <v>1</v>
      </c>
    </row>
    <row r="11" customFormat="false" ht="15" hidden="false" customHeight="true" outlineLevel="0" collapsed="false">
      <c r="A11" s="22" t="s">
        <v>55</v>
      </c>
      <c r="B11" s="22" t="s">
        <v>62</v>
      </c>
      <c r="C11" s="22" t="s">
        <v>64</v>
      </c>
      <c r="D11" s="23" t="n">
        <v>6100</v>
      </c>
      <c r="E11" s="23" t="n">
        <v>5500</v>
      </c>
      <c r="F11" s="24" t="n">
        <v>1</v>
      </c>
      <c r="G11" s="20" t="n">
        <f aca="false">IF(D13=0,0,IF(D13&lt;6000,1,IF(D13&lt;12000,2,IF(D13&lt;20000,3,IF(D13&lt;35000,4,5)))))</f>
        <v>1</v>
      </c>
      <c r="H11" s="20" t="n">
        <f aca="false">IF(E13=0,0,IF(E13&lt;5000,1,IF(E13&lt;10000,2,IF(E13&lt;17000,3,IF(E13&lt;30000,4,5)))))</f>
        <v>2</v>
      </c>
      <c r="I11" s="20" t="n">
        <f aca="false">IF(F13=0,0,IF(F13&lt;=1,1,IF(F13&lt;=3,2,IF(F13&lt;=6,3,IF(F13&lt;=12,4,5)))))</f>
        <v>1</v>
      </c>
      <c r="J11" s="21" t="n">
        <f aca="false">ROUND((G13*0.5)+(H13*0.3)+(I13*0.2),1)</f>
        <v>2.3</v>
      </c>
    </row>
    <row r="12" customFormat="false" ht="15" hidden="false" customHeight="true" outlineLevel="0" collapsed="false">
      <c r="A12" s="12" t="s">
        <v>55</v>
      </c>
      <c r="B12" s="12" t="s">
        <v>65</v>
      </c>
      <c r="C12" s="12" t="s">
        <v>66</v>
      </c>
      <c r="D12" s="13" t="n">
        <v>9800</v>
      </c>
      <c r="E12" s="13" t="n">
        <v>8700</v>
      </c>
      <c r="F12" s="14" t="n">
        <v>2</v>
      </c>
      <c r="G12" s="15" t="n">
        <f aca="false">IF(D14=0,0,IF(D14&lt;6000,1,IF(D14&lt;12000,2,IF(D14&lt;20000,3,IF(D14&lt;35000,4,5)))))</f>
        <v>1</v>
      </c>
      <c r="H12" s="15" t="n">
        <f aca="false">IF(E14=0,0,IF(E14&lt;5000,1,IF(E14&lt;10000,2,IF(E14&lt;17000,3,IF(E14&lt;30000,4,5)))))</f>
        <v>1</v>
      </c>
      <c r="I12" s="15" t="n">
        <f aca="false">IF(F14=0,0,IF(F14&lt;=1,1,IF(F14&lt;=3,2,IF(F14&lt;=6,3,IF(F14&lt;=12,4,5)))))</f>
        <v>1</v>
      </c>
      <c r="J12" s="16" t="n">
        <f aca="false">ROUND((G14*0.5)+(H14*0.3)+(I14*0.2),1)</f>
        <v>1.8</v>
      </c>
    </row>
    <row r="13" customFormat="false" ht="15" hidden="false" customHeight="true" outlineLevel="0" collapsed="false">
      <c r="A13" s="17" t="s">
        <v>55</v>
      </c>
      <c r="B13" s="17" t="s">
        <v>65</v>
      </c>
      <c r="C13" s="17" t="s">
        <v>66</v>
      </c>
      <c r="D13" s="18" t="n">
        <v>5800</v>
      </c>
      <c r="E13" s="18" t="n">
        <v>5100</v>
      </c>
      <c r="F13" s="19" t="n">
        <v>1</v>
      </c>
      <c r="G13" s="20" t="n">
        <f aca="false">IF(D15=0,0,IF(D15&lt;6000,1,IF(D15&lt;12000,2,IF(D15&lt;20000,3,IF(D15&lt;35000,4,5)))))</f>
        <v>2</v>
      </c>
      <c r="H13" s="20" t="n">
        <f aca="false">IF(E15=0,0,IF(E15&lt;5000,1,IF(E15&lt;10000,2,IF(E15&lt;17000,3,IF(E15&lt;30000,4,5)))))</f>
        <v>3</v>
      </c>
      <c r="I13" s="20" t="n">
        <f aca="false">IF(F15=0,0,IF(F15&lt;=1,1,IF(F15&lt;=3,2,IF(F15&lt;=6,3,IF(F15&lt;=12,4,5)))))</f>
        <v>2</v>
      </c>
      <c r="J13" s="21" t="n">
        <f aca="false">ROUND((G15*0.5)+(H15*0.3)+(I15*0.2),1)</f>
        <v>1</v>
      </c>
    </row>
    <row r="14" customFormat="false" ht="15" hidden="false" customHeight="true" outlineLevel="0" collapsed="false">
      <c r="A14" s="22" t="s">
        <v>55</v>
      </c>
      <c r="B14" s="22" t="s">
        <v>65</v>
      </c>
      <c r="C14" s="22" t="s">
        <v>67</v>
      </c>
      <c r="D14" s="23" t="n">
        <v>4000</v>
      </c>
      <c r="E14" s="23" t="n">
        <v>3600</v>
      </c>
      <c r="F14" s="24" t="n">
        <v>1</v>
      </c>
      <c r="G14" s="20" t="n">
        <f aca="false">IF(D16=0,0,IF(D16&lt;6000,1,IF(D16&lt;12000,2,IF(D16&lt;20000,3,IF(D16&lt;35000,4,5)))))</f>
        <v>2</v>
      </c>
      <c r="H14" s="20" t="n">
        <f aca="false">IF(E16=0,0,IF(E16&lt;5000,1,IF(E16&lt;10000,2,IF(E16&lt;17000,3,IF(E16&lt;30000,4,5)))))</f>
        <v>2</v>
      </c>
      <c r="I14" s="20" t="n">
        <f aca="false">IF(F16=0,0,IF(F16&lt;=1,1,IF(F16&lt;=3,2,IF(F16&lt;=6,3,IF(F16&lt;=12,4,5)))))</f>
        <v>1</v>
      </c>
      <c r="J14" s="21" t="n">
        <f aca="false">ROUND((G16*0.5)+(H16*0.3)+(I16*0.2),1)</f>
        <v>2.2</v>
      </c>
    </row>
    <row r="15" customFormat="false" ht="15" hidden="false" customHeight="true" outlineLevel="0" collapsed="false">
      <c r="A15" s="12" t="s">
        <v>55</v>
      </c>
      <c r="B15" s="12" t="s">
        <v>68</v>
      </c>
      <c r="C15" s="12" t="s">
        <v>69</v>
      </c>
      <c r="D15" s="13" t="n">
        <v>11300</v>
      </c>
      <c r="E15" s="13" t="n">
        <v>10100</v>
      </c>
      <c r="F15" s="14" t="n">
        <v>2</v>
      </c>
      <c r="G15" s="15" t="n">
        <f aca="false">IF(D17=0,0,IF(D17&lt;6000,1,IF(D17&lt;12000,2,IF(D17&lt;20000,3,IF(D17&lt;35000,4,5)))))</f>
        <v>1</v>
      </c>
      <c r="H15" s="15" t="n">
        <f aca="false">IF(E17=0,0,IF(E17&lt;5000,1,IF(E17&lt;10000,2,IF(E17&lt;17000,3,IF(E17&lt;30000,4,5)))))</f>
        <v>1</v>
      </c>
      <c r="I15" s="15" t="n">
        <f aca="false">IF(F17=0,0,IF(F17&lt;=1,1,IF(F17&lt;=3,2,IF(F17&lt;=6,3,IF(F17&lt;=12,4,5)))))</f>
        <v>1</v>
      </c>
      <c r="J15" s="16" t="n">
        <f aca="false">ROUND((G17*0.5)+(H17*0.3)+(I17*0.2),1)</f>
        <v>1.2</v>
      </c>
    </row>
    <row r="16" customFormat="false" ht="15" hidden="false" customHeight="true" outlineLevel="0" collapsed="false">
      <c r="A16" s="17" t="s">
        <v>55</v>
      </c>
      <c r="B16" s="17" t="s">
        <v>68</v>
      </c>
      <c r="C16" s="17" t="s">
        <v>69</v>
      </c>
      <c r="D16" s="18" t="n">
        <v>6500</v>
      </c>
      <c r="E16" s="18" t="n">
        <v>5800</v>
      </c>
      <c r="F16" s="19" t="n">
        <v>1</v>
      </c>
      <c r="G16" s="20" t="n">
        <f aca="false">IF(D18=0,0,IF(D18&lt;6000,1,IF(D18&lt;12000,2,IF(D18&lt;20000,3,IF(D18&lt;35000,4,5)))))</f>
        <v>2</v>
      </c>
      <c r="H16" s="20" t="n">
        <f aca="false">IF(E18=0,0,IF(E18&lt;5000,1,IF(E18&lt;10000,2,IF(E18&lt;17000,3,IF(E18&lt;30000,4,5)))))</f>
        <v>2</v>
      </c>
      <c r="I16" s="20" t="n">
        <f aca="false">IF(F18=0,0,IF(F18&lt;=1,1,IF(F18&lt;=3,2,IF(F18&lt;=6,3,IF(F18&lt;=12,4,5)))))</f>
        <v>3</v>
      </c>
      <c r="J16" s="21" t="n">
        <f aca="false">ROUND((G18*0.5)+(H18*0.3)+(I18*0.2),1)</f>
        <v>1.2</v>
      </c>
    </row>
    <row r="17" customFormat="false" ht="15" hidden="false" customHeight="true" outlineLevel="0" collapsed="false">
      <c r="A17" s="22" t="s">
        <v>55</v>
      </c>
      <c r="B17" s="22" t="s">
        <v>68</v>
      </c>
      <c r="C17" s="22" t="s">
        <v>70</v>
      </c>
      <c r="D17" s="23" t="n">
        <v>4800</v>
      </c>
      <c r="E17" s="23" t="n">
        <v>4300</v>
      </c>
      <c r="F17" s="24" t="n">
        <v>1</v>
      </c>
      <c r="G17" s="20" t="n">
        <f aca="false">IF(D19=0,0,IF(D19&lt;6000,1,IF(D19&lt;12000,2,IF(D19&lt;20000,3,IF(D19&lt;35000,4,5)))))</f>
        <v>1</v>
      </c>
      <c r="H17" s="20" t="n">
        <f aca="false">IF(E19=0,0,IF(E19&lt;5000,1,IF(E19&lt;10000,2,IF(E19&lt;17000,3,IF(E19&lt;30000,4,5)))))</f>
        <v>1</v>
      </c>
      <c r="I17" s="20" t="n">
        <f aca="false">IF(F19=0,0,IF(F19&lt;=1,1,IF(F19&lt;=3,2,IF(F19&lt;=6,3,IF(F19&lt;=12,4,5)))))</f>
        <v>2</v>
      </c>
      <c r="J17" s="21" t="n">
        <f aca="false">ROUND((G19*0.5)+(H19*0.3)+(I19*0.2),1)</f>
        <v>1.2</v>
      </c>
    </row>
    <row r="18" customFormat="false" ht="15" hidden="false" customHeight="true" outlineLevel="0" collapsed="false">
      <c r="A18" s="12" t="s">
        <v>71</v>
      </c>
      <c r="B18" s="12" t="s">
        <v>56</v>
      </c>
      <c r="C18" s="12" t="s">
        <v>72</v>
      </c>
      <c r="D18" s="13" t="n">
        <v>8500</v>
      </c>
      <c r="E18" s="13" t="n">
        <v>7200</v>
      </c>
      <c r="F18" s="14" t="n">
        <v>4</v>
      </c>
      <c r="G18" s="15" t="n">
        <f aca="false">IF(D20=0,0,IF(D20&lt;6000,1,IF(D20&lt;12000,2,IF(D20&lt;20000,3,IF(D20&lt;35000,4,5)))))</f>
        <v>1</v>
      </c>
      <c r="H18" s="15" t="n">
        <f aca="false">IF(E20=0,0,IF(E20&lt;5000,1,IF(E20&lt;10000,2,IF(E20&lt;17000,3,IF(E20&lt;30000,4,5)))))</f>
        <v>1</v>
      </c>
      <c r="I18" s="15" t="n">
        <f aca="false">IF(F20=0,0,IF(F20&lt;=1,1,IF(F20&lt;=3,2,IF(F20&lt;=6,3,IF(F20&lt;=12,4,5)))))</f>
        <v>2</v>
      </c>
      <c r="J18" s="16" t="n">
        <f aca="false">ROUND((G20*0.5)+(H20*0.3)+(I20*0.2),1)</f>
        <v>1.2</v>
      </c>
    </row>
    <row r="19" customFormat="false" ht="15" hidden="false" customHeight="true" outlineLevel="0" collapsed="false">
      <c r="A19" s="17" t="s">
        <v>71</v>
      </c>
      <c r="B19" s="17" t="s">
        <v>56</v>
      </c>
      <c r="C19" s="17" t="s">
        <v>73</v>
      </c>
      <c r="D19" s="18" t="n">
        <v>2200</v>
      </c>
      <c r="E19" s="18" t="n">
        <v>1900</v>
      </c>
      <c r="F19" s="19" t="n">
        <v>2</v>
      </c>
      <c r="G19" s="20" t="n">
        <f aca="false">IF(D21=0,0,IF(D21&lt;6000,1,IF(D21&lt;12000,2,IF(D21&lt;20000,3,IF(D21&lt;35000,4,5)))))</f>
        <v>1</v>
      </c>
      <c r="H19" s="20" t="n">
        <f aca="false">IF(E21=0,0,IF(E21&lt;5000,1,IF(E21&lt;10000,2,IF(E21&lt;17000,3,IF(E21&lt;30000,4,5)))))</f>
        <v>1</v>
      </c>
      <c r="I19" s="20" t="n">
        <f aca="false">IF(F21=0,0,IF(F21&lt;=1,1,IF(F21&lt;=3,2,IF(F21&lt;=6,3,IF(F21&lt;=12,4,5)))))</f>
        <v>2</v>
      </c>
      <c r="J19" s="21" t="n">
        <f aca="false">ROUND((G21*0.5)+(H21*0.3)+(I21*0.2),1)</f>
        <v>3.8</v>
      </c>
    </row>
    <row r="20" customFormat="false" ht="15" hidden="false" customHeight="true" outlineLevel="0" collapsed="false">
      <c r="A20" s="22" t="s">
        <v>71</v>
      </c>
      <c r="B20" s="22" t="s">
        <v>56</v>
      </c>
      <c r="C20" s="22" t="s">
        <v>74</v>
      </c>
      <c r="D20" s="23" t="n">
        <v>1900</v>
      </c>
      <c r="E20" s="23" t="n">
        <v>1600</v>
      </c>
      <c r="F20" s="24" t="n">
        <v>2</v>
      </c>
      <c r="G20" s="20" t="n">
        <f aca="false">IF(D22=0,0,IF(D22&lt;6000,1,IF(D22&lt;12000,2,IF(D22&lt;20000,3,IF(D22&lt;35000,4,5)))))</f>
        <v>1</v>
      </c>
      <c r="H20" s="20" t="n">
        <f aca="false">IF(E22=0,0,IF(E22&lt;5000,1,IF(E22&lt;10000,2,IF(E22&lt;17000,3,IF(E22&lt;30000,4,5)))))</f>
        <v>1</v>
      </c>
      <c r="I20" s="20" t="n">
        <f aca="false">IF(F22=0,0,IF(F22&lt;=1,1,IF(F22&lt;=3,2,IF(F22&lt;=6,3,IF(F22&lt;=12,4,5)))))</f>
        <v>2</v>
      </c>
      <c r="J20" s="21" t="n">
        <f aca="false">ROUND((G22*0.5)+(H22*0.3)+(I22*0.2),1)</f>
        <v>2</v>
      </c>
    </row>
    <row r="21" customFormat="false" ht="15" hidden="false" customHeight="true" outlineLevel="0" collapsed="false">
      <c r="A21" s="17" t="s">
        <v>71</v>
      </c>
      <c r="B21" s="17" t="s">
        <v>56</v>
      </c>
      <c r="C21" s="17" t="s">
        <v>75</v>
      </c>
      <c r="D21" s="18" t="n">
        <v>1800</v>
      </c>
      <c r="E21" s="18" t="n">
        <v>1500</v>
      </c>
      <c r="F21" s="19" t="n">
        <v>2</v>
      </c>
      <c r="G21" s="20" t="n">
        <f aca="false">IF(D23=0,0,IF(D23&lt;6000,1,IF(D23&lt;12000,2,IF(D23&lt;20000,3,IF(D23&lt;35000,4,5)))))</f>
        <v>4</v>
      </c>
      <c r="H21" s="20" t="n">
        <f aca="false">IF(E23=0,0,IF(E23&lt;5000,1,IF(E23&lt;10000,2,IF(E23&lt;17000,3,IF(E23&lt;30000,4,5)))))</f>
        <v>4</v>
      </c>
      <c r="I21" s="20" t="n">
        <f aca="false">IF(F23=0,0,IF(F23&lt;=1,1,IF(F23&lt;=3,2,IF(F23&lt;=6,3,IF(F23&lt;=12,4,5)))))</f>
        <v>3</v>
      </c>
      <c r="J21" s="21" t="n">
        <f aca="false">ROUND((G23*0.5)+(H23*0.3)+(I23*0.2),1)</f>
        <v>2</v>
      </c>
    </row>
    <row r="22" customFormat="false" ht="15" hidden="false" customHeight="true" outlineLevel="0" collapsed="false">
      <c r="A22" s="22" t="s">
        <v>71</v>
      </c>
      <c r="B22" s="22" t="s">
        <v>56</v>
      </c>
      <c r="C22" s="22" t="s">
        <v>76</v>
      </c>
      <c r="D22" s="23" t="n">
        <v>2600</v>
      </c>
      <c r="E22" s="23" t="n">
        <v>2200</v>
      </c>
      <c r="F22" s="24" t="n">
        <v>2</v>
      </c>
      <c r="G22" s="20" t="n">
        <f aca="false">IF(D24=0,0,IF(D24&lt;6000,1,IF(D24&lt;12000,2,IF(D24&lt;20000,3,IF(D24&lt;35000,4,5)))))</f>
        <v>2</v>
      </c>
      <c r="H22" s="20" t="n">
        <f aca="false">IF(E24=0,0,IF(E24&lt;5000,1,IF(E24&lt;10000,2,IF(E24&lt;17000,3,IF(E24&lt;30000,4,5)))))</f>
        <v>2</v>
      </c>
      <c r="I22" s="20" t="n">
        <f aca="false">IF(F24=0,0,IF(F24&lt;=1,1,IF(F24&lt;=3,2,IF(F24&lt;=6,3,IF(F24&lt;=12,4,5)))))</f>
        <v>2</v>
      </c>
      <c r="J22" s="21" t="n">
        <f aca="false">ROUND((G24*0.5)+(H24*0.3)+(I24*0.2),1)</f>
        <v>2</v>
      </c>
    </row>
    <row r="23" customFormat="false" ht="15" hidden="false" customHeight="true" outlineLevel="0" collapsed="false">
      <c r="A23" s="12" t="s">
        <v>71</v>
      </c>
      <c r="B23" s="12" t="s">
        <v>59</v>
      </c>
      <c r="C23" s="12" t="s">
        <v>77</v>
      </c>
      <c r="D23" s="13" t="n">
        <v>31000</v>
      </c>
      <c r="E23" s="13" t="n">
        <v>27400</v>
      </c>
      <c r="F23" s="14" t="n">
        <v>4</v>
      </c>
      <c r="G23" s="15" t="n">
        <f aca="false">IF(D25=0,0,IF(D25&lt;6000,1,IF(D25&lt;12000,2,IF(D25&lt;20000,3,IF(D25&lt;35000,4,5)))))</f>
        <v>2</v>
      </c>
      <c r="H23" s="15" t="n">
        <f aca="false">IF(E25=0,0,IF(E25&lt;5000,1,IF(E25&lt;10000,2,IF(E25&lt;17000,3,IF(E25&lt;30000,4,5)))))</f>
        <v>2</v>
      </c>
      <c r="I23" s="15" t="n">
        <f aca="false">IF(F25=0,0,IF(F25&lt;=1,1,IF(F25&lt;=3,2,IF(F25&lt;=6,3,IF(F25&lt;=12,4,5)))))</f>
        <v>2</v>
      </c>
      <c r="J23" s="16" t="n">
        <f aca="false">ROUND((G25*0.5)+(H25*0.3)+(I25*0.2),1)</f>
        <v>2</v>
      </c>
    </row>
    <row r="24" customFormat="false" ht="15" hidden="false" customHeight="true" outlineLevel="0" collapsed="false">
      <c r="A24" s="17" t="s">
        <v>71</v>
      </c>
      <c r="B24" s="17" t="s">
        <v>59</v>
      </c>
      <c r="C24" s="17" t="s">
        <v>78</v>
      </c>
      <c r="D24" s="18" t="n">
        <v>9500</v>
      </c>
      <c r="E24" s="18" t="n">
        <v>8400</v>
      </c>
      <c r="F24" s="19" t="n">
        <v>3</v>
      </c>
      <c r="G24" s="20" t="n">
        <f aca="false">IF(D26=0,0,IF(D26&lt;6000,1,IF(D26&lt;12000,2,IF(D26&lt;20000,3,IF(D26&lt;35000,4,5)))))</f>
        <v>2</v>
      </c>
      <c r="H24" s="20" t="n">
        <f aca="false">IF(E26=0,0,IF(E26&lt;5000,1,IF(E26&lt;10000,2,IF(E26&lt;17000,3,IF(E26&lt;30000,4,5)))))</f>
        <v>2</v>
      </c>
      <c r="I24" s="20" t="n">
        <f aca="false">IF(F26=0,0,IF(F26&lt;=1,1,IF(F26&lt;=3,2,IF(F26&lt;=6,3,IF(F26&lt;=12,4,5)))))</f>
        <v>2</v>
      </c>
      <c r="J24" s="21" t="n">
        <f aca="false">ROUND((G26*0.5)+(H26*0.3)+(I26*0.2),1)</f>
        <v>1.2</v>
      </c>
    </row>
    <row r="25" customFormat="false" ht="15" hidden="false" customHeight="true" outlineLevel="0" collapsed="false">
      <c r="A25" s="22" t="s">
        <v>71</v>
      </c>
      <c r="B25" s="22" t="s">
        <v>59</v>
      </c>
      <c r="C25" s="22" t="s">
        <v>79</v>
      </c>
      <c r="D25" s="23" t="n">
        <v>8200</v>
      </c>
      <c r="E25" s="23" t="n">
        <v>7200</v>
      </c>
      <c r="F25" s="24" t="n">
        <v>3</v>
      </c>
      <c r="G25" s="20" t="n">
        <f aca="false">IF(D27=0,0,IF(D27&lt;6000,1,IF(D27&lt;12000,2,IF(D27&lt;20000,3,IF(D27&lt;35000,4,5)))))</f>
        <v>2</v>
      </c>
      <c r="H25" s="20" t="n">
        <f aca="false">IF(E27=0,0,IF(E27&lt;5000,1,IF(E27&lt;10000,2,IF(E27&lt;17000,3,IF(E27&lt;30000,4,5)))))</f>
        <v>2</v>
      </c>
      <c r="I25" s="20" t="n">
        <f aca="false">IF(F27=0,0,IF(F27&lt;=1,1,IF(F27&lt;=3,2,IF(F27&lt;=6,3,IF(F27&lt;=12,4,5)))))</f>
        <v>2</v>
      </c>
      <c r="J25" s="21" t="n">
        <f aca="false">ROUND((G27*0.5)+(H27*0.3)+(I27*0.2),1)</f>
        <v>1.2</v>
      </c>
    </row>
    <row r="26" customFormat="false" ht="15" hidden="false" customHeight="true" outlineLevel="0" collapsed="false">
      <c r="A26" s="17" t="s">
        <v>71</v>
      </c>
      <c r="B26" s="17" t="s">
        <v>59</v>
      </c>
      <c r="C26" s="17" t="s">
        <v>80</v>
      </c>
      <c r="D26" s="18" t="n">
        <v>7100</v>
      </c>
      <c r="E26" s="18" t="n">
        <v>6300</v>
      </c>
      <c r="F26" s="19" t="n">
        <v>3</v>
      </c>
      <c r="G26" s="20" t="n">
        <f aca="false">IF(D28=0,0,IF(D28&lt;6000,1,IF(D28&lt;12000,2,IF(D28&lt;20000,3,IF(D28&lt;35000,4,5)))))</f>
        <v>1</v>
      </c>
      <c r="H26" s="20" t="n">
        <f aca="false">IF(E28=0,0,IF(E28&lt;5000,1,IF(E28&lt;10000,2,IF(E28&lt;17000,3,IF(E28&lt;30000,4,5)))))</f>
        <v>1</v>
      </c>
      <c r="I26" s="20" t="n">
        <f aca="false">IF(F28=0,0,IF(F28&lt;=1,1,IF(F28&lt;=3,2,IF(F28&lt;=6,3,IF(F28&lt;=12,4,5)))))</f>
        <v>2</v>
      </c>
      <c r="J26" s="21" t="n">
        <f aca="false">ROUND((G28*0.5)+(H28*0.3)+(I28*0.2),1)</f>
        <v>1.2</v>
      </c>
    </row>
    <row r="27" customFormat="false" ht="15" hidden="false" customHeight="true" outlineLevel="0" collapsed="false">
      <c r="A27" s="22" t="s">
        <v>71</v>
      </c>
      <c r="B27" s="22" t="s">
        <v>59</v>
      </c>
      <c r="C27" s="22" t="s">
        <v>81</v>
      </c>
      <c r="D27" s="23" t="n">
        <v>6200</v>
      </c>
      <c r="E27" s="23" t="n">
        <v>5500</v>
      </c>
      <c r="F27" s="24" t="n">
        <v>2</v>
      </c>
      <c r="G27" s="20" t="n">
        <f aca="false">IF(D29=0,0,IF(D29&lt;6000,1,IF(D29&lt;12000,2,IF(D29&lt;20000,3,IF(D29&lt;35000,4,5)))))</f>
        <v>1</v>
      </c>
      <c r="H27" s="20" t="n">
        <f aca="false">IF(E29=0,0,IF(E29&lt;5000,1,IF(E29&lt;10000,2,IF(E29&lt;17000,3,IF(E29&lt;30000,4,5)))))</f>
        <v>1</v>
      </c>
      <c r="I27" s="20" t="n">
        <f aca="false">IF(F29=0,0,IF(F29&lt;=1,1,IF(F29&lt;=3,2,IF(F29&lt;=6,3,IF(F29&lt;=12,4,5)))))</f>
        <v>2</v>
      </c>
      <c r="J27" s="21" t="n">
        <f aca="false">ROUND((G29*0.5)+(H29*0.3)+(I29*0.2),1)</f>
        <v>1</v>
      </c>
    </row>
    <row r="28" customFormat="false" ht="15" hidden="false" customHeight="true" outlineLevel="0" collapsed="false">
      <c r="A28" s="12" t="s">
        <v>71</v>
      </c>
      <c r="B28" s="12" t="s">
        <v>62</v>
      </c>
      <c r="C28" s="12" t="s">
        <v>82</v>
      </c>
      <c r="D28" s="13" t="n">
        <v>5600</v>
      </c>
      <c r="E28" s="13" t="n">
        <v>4900</v>
      </c>
      <c r="F28" s="14" t="n">
        <v>3</v>
      </c>
      <c r="G28" s="15" t="n">
        <f aca="false">IF(D30=0,0,IF(D30&lt;6000,1,IF(D30&lt;12000,2,IF(D30&lt;20000,3,IF(D30&lt;35000,4,5)))))</f>
        <v>1</v>
      </c>
      <c r="H28" s="15" t="n">
        <f aca="false">IF(E30=0,0,IF(E30&lt;5000,1,IF(E30&lt;10000,2,IF(E30&lt;17000,3,IF(E30&lt;30000,4,5)))))</f>
        <v>1</v>
      </c>
      <c r="I28" s="15" t="n">
        <f aca="false">IF(F30=0,0,IF(F30&lt;=1,1,IF(F30&lt;=3,2,IF(F30&lt;=6,3,IF(F30&lt;=12,4,5)))))</f>
        <v>2</v>
      </c>
      <c r="J28" s="16" t="n">
        <f aca="false">ROUND((G30*0.5)+(H30*0.3)+(I30*0.2),1)</f>
        <v>1.2</v>
      </c>
    </row>
    <row r="29" customFormat="false" ht="15" hidden="false" customHeight="true" outlineLevel="0" collapsed="false">
      <c r="A29" s="17" t="s">
        <v>71</v>
      </c>
      <c r="B29" s="17" t="s">
        <v>62</v>
      </c>
      <c r="C29" s="17" t="s">
        <v>83</v>
      </c>
      <c r="D29" s="18" t="n">
        <v>2100</v>
      </c>
      <c r="E29" s="18" t="n">
        <v>1800</v>
      </c>
      <c r="F29" s="19" t="n">
        <v>2</v>
      </c>
      <c r="G29" s="20" t="n">
        <f aca="false">IF(D31=0,0,IF(D31&lt;6000,1,IF(D31&lt;12000,2,IF(D31&lt;20000,3,IF(D31&lt;35000,4,5)))))</f>
        <v>1</v>
      </c>
      <c r="H29" s="20" t="n">
        <f aca="false">IF(E31=0,0,IF(E31&lt;5000,1,IF(E31&lt;10000,2,IF(E31&lt;17000,3,IF(E31&lt;30000,4,5)))))</f>
        <v>1</v>
      </c>
      <c r="I29" s="20" t="n">
        <f aca="false">IF(F31=0,0,IF(F31&lt;=1,1,IF(F31&lt;=3,2,IF(F31&lt;=6,3,IF(F31&lt;=12,4,5)))))</f>
        <v>1</v>
      </c>
      <c r="J29" s="21" t="n">
        <f aca="false">ROUND((G31*0.5)+(H31*0.3)+(I31*0.2),1)</f>
        <v>1.2</v>
      </c>
    </row>
    <row r="30" customFormat="false" ht="15" hidden="false" customHeight="true" outlineLevel="0" collapsed="false">
      <c r="A30" s="22" t="s">
        <v>71</v>
      </c>
      <c r="B30" s="22" t="s">
        <v>62</v>
      </c>
      <c r="C30" s="22" t="s">
        <v>84</v>
      </c>
      <c r="D30" s="23" t="n">
        <v>1900</v>
      </c>
      <c r="E30" s="23" t="n">
        <v>1700</v>
      </c>
      <c r="F30" s="24" t="n">
        <v>2</v>
      </c>
      <c r="G30" s="20" t="n">
        <f aca="false">IF(D32=0,0,IF(D32&lt;6000,1,IF(D32&lt;12000,2,IF(D32&lt;20000,3,IF(D32&lt;35000,4,5)))))</f>
        <v>1</v>
      </c>
      <c r="H30" s="20" t="n">
        <f aca="false">IF(E32=0,0,IF(E32&lt;5000,1,IF(E32&lt;10000,2,IF(E32&lt;17000,3,IF(E32&lt;30000,4,5)))))</f>
        <v>1</v>
      </c>
      <c r="I30" s="20" t="n">
        <f aca="false">IF(F32=0,0,IF(F32&lt;=1,1,IF(F32&lt;=3,2,IF(F32&lt;=6,3,IF(F32&lt;=12,4,5)))))</f>
        <v>2</v>
      </c>
      <c r="J30" s="21" t="n">
        <f aca="false">ROUND((G32*0.5)+(H32*0.3)+(I32*0.2),1)</f>
        <v>1.2</v>
      </c>
    </row>
    <row r="31" customFormat="false" ht="15" hidden="false" customHeight="true" outlineLevel="0" collapsed="false">
      <c r="A31" s="17" t="s">
        <v>71</v>
      </c>
      <c r="B31" s="17" t="s">
        <v>62</v>
      </c>
      <c r="C31" s="17" t="s">
        <v>85</v>
      </c>
      <c r="D31" s="18" t="n">
        <v>1600</v>
      </c>
      <c r="E31" s="18" t="n">
        <v>1400</v>
      </c>
      <c r="F31" s="19" t="n">
        <v>1</v>
      </c>
      <c r="G31" s="20" t="n">
        <f aca="false">IF(D33=0,0,IF(D33&lt;6000,1,IF(D33&lt;12000,2,IF(D33&lt;20000,3,IF(D33&lt;35000,4,5)))))</f>
        <v>1</v>
      </c>
      <c r="H31" s="20" t="n">
        <f aca="false">IF(E33=0,0,IF(E33&lt;5000,1,IF(E33&lt;10000,2,IF(E33&lt;17000,3,IF(E33&lt;30000,4,5)))))</f>
        <v>1</v>
      </c>
      <c r="I31" s="20" t="n">
        <f aca="false">IF(F33=0,0,IF(F33&lt;=1,1,IF(F33&lt;=3,2,IF(F33&lt;=6,3,IF(F33&lt;=12,4,5)))))</f>
        <v>2</v>
      </c>
      <c r="J31" s="21" t="n">
        <f aca="false">ROUND((G33*0.5)+(H33*0.3)+(I33*0.2),1)</f>
        <v>2.8</v>
      </c>
    </row>
    <row r="32" customFormat="false" ht="15" hidden="false" customHeight="true" outlineLevel="0" collapsed="false">
      <c r="A32" s="12" t="s">
        <v>71</v>
      </c>
      <c r="B32" s="12" t="s">
        <v>68</v>
      </c>
      <c r="C32" s="12" t="s">
        <v>86</v>
      </c>
      <c r="D32" s="13" t="n">
        <v>4200</v>
      </c>
      <c r="E32" s="13" t="n">
        <v>3800</v>
      </c>
      <c r="F32" s="14" t="n">
        <v>2</v>
      </c>
      <c r="G32" s="15" t="n">
        <f aca="false">IF(D34=0,0,IF(D34&lt;6000,1,IF(D34&lt;12000,2,IF(D34&lt;20000,3,IF(D34&lt;35000,4,5)))))</f>
        <v>1</v>
      </c>
      <c r="H32" s="15" t="n">
        <f aca="false">IF(E34=0,0,IF(E34&lt;5000,1,IF(E34&lt;10000,2,IF(E34&lt;17000,3,IF(E34&lt;30000,4,5)))))</f>
        <v>1</v>
      </c>
      <c r="I32" s="15" t="n">
        <f aca="false">IF(F34=0,0,IF(F34&lt;=1,1,IF(F34&lt;=3,2,IF(F34&lt;=6,3,IF(F34&lt;=12,4,5)))))</f>
        <v>2</v>
      </c>
      <c r="J32" s="16" t="n">
        <f aca="false">ROUND((G34*0.5)+(H34*0.3)+(I34*0.2),1)</f>
        <v>1.2</v>
      </c>
    </row>
    <row r="33" customFormat="false" ht="15" hidden="false" customHeight="true" outlineLevel="0" collapsed="false">
      <c r="A33" s="17" t="s">
        <v>71</v>
      </c>
      <c r="B33" s="17" t="s">
        <v>68</v>
      </c>
      <c r="C33" s="17" t="s">
        <v>87</v>
      </c>
      <c r="D33" s="18" t="n">
        <v>2300</v>
      </c>
      <c r="E33" s="18" t="n">
        <v>2100</v>
      </c>
      <c r="F33" s="19" t="n">
        <v>2</v>
      </c>
      <c r="G33" s="20" t="n">
        <f aca="false">IF(D35=0,0,IF(D35&lt;6000,1,IF(D35&lt;12000,2,IF(D35&lt;20000,3,IF(D35&lt;35000,4,5)))))</f>
        <v>3</v>
      </c>
      <c r="H33" s="20" t="n">
        <f aca="false">IF(E35=0,0,IF(E35&lt;5000,1,IF(E35&lt;10000,2,IF(E35&lt;17000,3,IF(E35&lt;30000,4,5)))))</f>
        <v>3</v>
      </c>
      <c r="I33" s="20" t="n">
        <f aca="false">IF(F35=0,0,IF(F35&lt;=1,1,IF(F35&lt;=3,2,IF(F35&lt;=6,3,IF(F35&lt;=12,4,5)))))</f>
        <v>2</v>
      </c>
      <c r="J33" s="21" t="n">
        <f aca="false">ROUND((G35*0.5)+(H35*0.3)+(I35*0.2),1)</f>
        <v>1.2</v>
      </c>
    </row>
    <row r="34" customFormat="false" ht="15" hidden="false" customHeight="true" outlineLevel="0" collapsed="false">
      <c r="A34" s="22" t="s">
        <v>71</v>
      </c>
      <c r="B34" s="22" t="s">
        <v>68</v>
      </c>
      <c r="C34" s="22" t="s">
        <v>88</v>
      </c>
      <c r="D34" s="23" t="n">
        <v>1900</v>
      </c>
      <c r="E34" s="23" t="n">
        <v>1700</v>
      </c>
      <c r="F34" s="24" t="n">
        <v>2</v>
      </c>
      <c r="G34" s="20" t="n">
        <f aca="false">IF(D36=0,0,IF(D36&lt;6000,1,IF(D36&lt;12000,2,IF(D36&lt;20000,3,IF(D36&lt;35000,4,5)))))</f>
        <v>1</v>
      </c>
      <c r="H34" s="20" t="n">
        <f aca="false">IF(E36=0,0,IF(E36&lt;5000,1,IF(E36&lt;10000,2,IF(E36&lt;17000,3,IF(E36&lt;30000,4,5)))))</f>
        <v>1</v>
      </c>
      <c r="I34" s="20" t="n">
        <f aca="false">IF(F36=0,0,IF(F36&lt;=1,1,IF(F36&lt;=3,2,IF(F36&lt;=6,3,IF(F36&lt;=12,4,5)))))</f>
        <v>2</v>
      </c>
      <c r="J34" s="21" t="n">
        <f aca="false">ROUND((G36*0.5)+(H36*0.3)+(I36*0.2),1)</f>
        <v>1</v>
      </c>
    </row>
    <row r="35" customFormat="false" ht="15" hidden="false" customHeight="true" outlineLevel="0" collapsed="false">
      <c r="A35" s="12" t="s">
        <v>89</v>
      </c>
      <c r="B35" s="12" t="s">
        <v>59</v>
      </c>
      <c r="C35" s="12" t="s">
        <v>90</v>
      </c>
      <c r="D35" s="13" t="n">
        <v>12400</v>
      </c>
      <c r="E35" s="13" t="n">
        <v>10900</v>
      </c>
      <c r="F35" s="14" t="n">
        <v>3</v>
      </c>
      <c r="G35" s="15" t="n">
        <f aca="false">IF(D37=0,0,IF(D37&lt;6000,1,IF(D37&lt;12000,2,IF(D37&lt;20000,3,IF(D37&lt;35000,4,5)))))</f>
        <v>1</v>
      </c>
      <c r="H35" s="15" t="n">
        <f aca="false">IF(E37=0,0,IF(E37&lt;5000,1,IF(E37&lt;10000,2,IF(E37&lt;17000,3,IF(E37&lt;30000,4,5)))))</f>
        <v>1</v>
      </c>
      <c r="I35" s="15" t="n">
        <f aca="false">IF(F37=0,0,IF(F37&lt;=1,1,IF(F37&lt;=3,2,IF(F37&lt;=6,3,IF(F37&lt;=12,4,5)))))</f>
        <v>2</v>
      </c>
      <c r="J35" s="16" t="n">
        <f aca="false">ROUND((G37*0.5)+(H37*0.3)+(I37*0.2),1)</f>
        <v>4.6</v>
      </c>
    </row>
    <row r="36" customFormat="false" ht="15" hidden="false" customHeight="true" outlineLevel="0" collapsed="false">
      <c r="A36" s="17" t="s">
        <v>89</v>
      </c>
      <c r="B36" s="17" t="s">
        <v>59</v>
      </c>
      <c r="C36" s="17" t="s">
        <v>91</v>
      </c>
      <c r="D36" s="18" t="n">
        <v>3800</v>
      </c>
      <c r="E36" s="18" t="n">
        <v>3300</v>
      </c>
      <c r="F36" s="19" t="n">
        <v>2</v>
      </c>
      <c r="G36" s="20" t="n">
        <f aca="false">IF(D38=0,0,IF(D38&lt;6000,1,IF(D38&lt;12000,2,IF(D38&lt;20000,3,IF(D38&lt;35000,4,5)))))</f>
        <v>1</v>
      </c>
      <c r="H36" s="20" t="n">
        <f aca="false">IF(E38=0,0,IF(E38&lt;5000,1,IF(E38&lt;10000,2,IF(E38&lt;17000,3,IF(E38&lt;30000,4,5)))))</f>
        <v>1</v>
      </c>
      <c r="I36" s="20" t="n">
        <f aca="false">IF(F38=0,0,IF(F38&lt;=1,1,IF(F38&lt;=3,2,IF(F38&lt;=6,3,IF(F38&lt;=12,4,5)))))</f>
        <v>1</v>
      </c>
      <c r="J36" s="21" t="n">
        <f aca="false">ROUND((G38*0.5)+(H38*0.3)+(I38*0.2),1)</f>
        <v>2.4</v>
      </c>
    </row>
    <row r="37" customFormat="false" ht="15" hidden="false" customHeight="true" outlineLevel="0" collapsed="false">
      <c r="A37" s="22" t="s">
        <v>89</v>
      </c>
      <c r="B37" s="22" t="s">
        <v>59</v>
      </c>
      <c r="C37" s="22" t="s">
        <v>92</v>
      </c>
      <c r="D37" s="23" t="n">
        <v>4200</v>
      </c>
      <c r="E37" s="23" t="n">
        <v>3700</v>
      </c>
      <c r="F37" s="24" t="n">
        <v>2</v>
      </c>
      <c r="G37" s="20" t="n">
        <f aca="false">IF(D39=0,0,IF(D39&lt;6000,1,IF(D39&lt;12000,2,IF(D39&lt;20000,3,IF(D39&lt;35000,4,5)))))</f>
        <v>5</v>
      </c>
      <c r="H37" s="20" t="n">
        <f aca="false">IF(E39=0,0,IF(E39&lt;5000,1,IF(E39&lt;10000,2,IF(E39&lt;17000,3,IF(E39&lt;30000,4,5)))))</f>
        <v>5</v>
      </c>
      <c r="I37" s="20" t="n">
        <f aca="false">IF(F39=0,0,IF(F39&lt;=1,1,IF(F39&lt;=3,2,IF(F39&lt;=6,3,IF(F39&lt;=12,4,5)))))</f>
        <v>3</v>
      </c>
      <c r="J37" s="21" t="n">
        <f aca="false">ROUND((G39*0.5)+(H39*0.3)+(I39*0.2),1)</f>
        <v>2.7</v>
      </c>
    </row>
    <row r="38" customFormat="false" ht="15" hidden="false" customHeight="true" outlineLevel="0" collapsed="false">
      <c r="A38" s="17" t="s">
        <v>89</v>
      </c>
      <c r="B38" s="17" t="s">
        <v>59</v>
      </c>
      <c r="C38" s="17" t="s">
        <v>93</v>
      </c>
      <c r="D38" s="18" t="n">
        <v>4400</v>
      </c>
      <c r="E38" s="18" t="n">
        <v>3900</v>
      </c>
      <c r="F38" s="19" t="n">
        <v>1</v>
      </c>
      <c r="G38" s="20" t="n">
        <f aca="false">IF(D40=0,0,IF(D40&lt;6000,1,IF(D40&lt;12000,2,IF(D40&lt;20000,3,IF(D40&lt;35000,4,5)))))</f>
        <v>2</v>
      </c>
      <c r="H38" s="20" t="n">
        <f aca="false">IF(E40=0,0,IF(E40&lt;5000,1,IF(E40&lt;10000,2,IF(E40&lt;17000,3,IF(E40&lt;30000,4,5)))))</f>
        <v>2</v>
      </c>
      <c r="I38" s="20" t="n">
        <f aca="false">IF(F40=0,0,IF(F40&lt;=1,1,IF(F40&lt;=3,2,IF(F40&lt;=6,3,IF(F40&lt;=12,4,5)))))</f>
        <v>4</v>
      </c>
      <c r="J38" s="21" t="n">
        <f aca="false">ROUND((G40*0.5)+(H40*0.3)+(I40*0.2),1)</f>
        <v>2.4</v>
      </c>
    </row>
    <row r="39" customFormat="false" ht="15" hidden="false" customHeight="true" outlineLevel="0" collapsed="false">
      <c r="A39" s="12" t="s">
        <v>89</v>
      </c>
      <c r="B39" s="12" t="s">
        <v>62</v>
      </c>
      <c r="C39" s="12" t="s">
        <v>94</v>
      </c>
      <c r="D39" s="13" t="n">
        <v>38500</v>
      </c>
      <c r="E39" s="13" t="n">
        <v>34200</v>
      </c>
      <c r="F39" s="14" t="n">
        <v>4</v>
      </c>
      <c r="G39" s="15" t="n">
        <f aca="false">IF(D41=0,0,IF(D41&lt;6000,1,IF(D41&lt;12000,2,IF(D41&lt;20000,3,IF(D41&lt;35000,4,5)))))</f>
        <v>2</v>
      </c>
      <c r="H39" s="15" t="n">
        <f aca="false">IF(E41=0,0,IF(E41&lt;5000,1,IF(E41&lt;10000,2,IF(E41&lt;17000,3,IF(E41&lt;30000,4,5)))))</f>
        <v>3</v>
      </c>
      <c r="I39" s="15" t="n">
        <f aca="false">IF(F41=0,0,IF(F41&lt;=1,1,IF(F41&lt;=3,2,IF(F41&lt;=6,3,IF(F41&lt;=12,4,5)))))</f>
        <v>4</v>
      </c>
      <c r="J39" s="16" t="n">
        <f aca="false">ROUND((G41*0.5)+(H41*0.3)+(I41*0.2),1)</f>
        <v>2.4</v>
      </c>
    </row>
    <row r="40" customFormat="false" ht="15" hidden="false" customHeight="true" outlineLevel="0" collapsed="false">
      <c r="A40" s="17" t="s">
        <v>89</v>
      </c>
      <c r="B40" s="17" t="s">
        <v>62</v>
      </c>
      <c r="C40" s="17" t="s">
        <v>95</v>
      </c>
      <c r="D40" s="18" t="n">
        <v>9200</v>
      </c>
      <c r="E40" s="18" t="n">
        <v>8100</v>
      </c>
      <c r="F40" s="19" t="n">
        <v>8</v>
      </c>
      <c r="G40" s="20" t="n">
        <f aca="false">IF(D42=0,0,IF(D42&lt;6000,1,IF(D42&lt;12000,2,IF(D42&lt;20000,3,IF(D42&lt;35000,4,5)))))</f>
        <v>2</v>
      </c>
      <c r="H40" s="20" t="n">
        <f aca="false">IF(E42=0,0,IF(E42&lt;5000,1,IF(E42&lt;10000,2,IF(E42&lt;17000,3,IF(E42&lt;30000,4,5)))))</f>
        <v>2</v>
      </c>
      <c r="I40" s="20" t="n">
        <f aca="false">IF(F42=0,0,IF(F42&lt;=1,1,IF(F42&lt;=3,2,IF(F42&lt;=6,3,IF(F42&lt;=12,4,5)))))</f>
        <v>4</v>
      </c>
      <c r="J40" s="21" t="n">
        <f aca="false">ROUND((G42*0.5)+(H42*0.3)+(I42*0.2),1)</f>
        <v>3.6</v>
      </c>
    </row>
    <row r="41" customFormat="false" ht="15" hidden="false" customHeight="true" outlineLevel="0" collapsed="false">
      <c r="A41" s="22" t="s">
        <v>89</v>
      </c>
      <c r="B41" s="22" t="s">
        <v>62</v>
      </c>
      <c r="C41" s="22" t="s">
        <v>96</v>
      </c>
      <c r="D41" s="23" t="n">
        <v>11400</v>
      </c>
      <c r="E41" s="23" t="n">
        <v>10200</v>
      </c>
      <c r="F41" s="24" t="n">
        <v>8</v>
      </c>
      <c r="G41" s="20" t="n">
        <f aca="false">IF(D43=0,0,IF(D43&lt;6000,1,IF(D43&lt;12000,2,IF(D43&lt;20000,3,IF(D43&lt;35000,4,5)))))</f>
        <v>2</v>
      </c>
      <c r="H41" s="20" t="n">
        <f aca="false">IF(E43=0,0,IF(E43&lt;5000,1,IF(E43&lt;10000,2,IF(E43&lt;17000,3,IF(E43&lt;30000,4,5)))))</f>
        <v>2</v>
      </c>
      <c r="I41" s="20" t="n">
        <f aca="false">IF(F43=0,0,IF(F43&lt;=1,1,IF(F43&lt;=3,2,IF(F43&lt;=6,3,IF(F43&lt;=12,4,5)))))</f>
        <v>4</v>
      </c>
      <c r="J41" s="21" t="n">
        <f aca="false">ROUND((G43*0.5)+(H43*0.3)+(I43*0.2),1)</f>
        <v>2.4</v>
      </c>
    </row>
    <row r="42" customFormat="false" ht="15" hidden="false" customHeight="true" outlineLevel="0" collapsed="false">
      <c r="A42" s="17" t="s">
        <v>89</v>
      </c>
      <c r="B42" s="17" t="s">
        <v>62</v>
      </c>
      <c r="C42" s="17" t="s">
        <v>97</v>
      </c>
      <c r="D42" s="18" t="n">
        <v>8700</v>
      </c>
      <c r="E42" s="18" t="n">
        <v>7800</v>
      </c>
      <c r="F42" s="19" t="n">
        <v>8</v>
      </c>
      <c r="G42" s="20" t="n">
        <f aca="false">IF(D44=0,0,IF(D44&lt;6000,1,IF(D44&lt;12000,2,IF(D44&lt;20000,3,IF(D44&lt;35000,4,5)))))</f>
        <v>4</v>
      </c>
      <c r="H42" s="20" t="n">
        <f aca="false">IF(E44=0,0,IF(E44&lt;5000,1,IF(E44&lt;10000,2,IF(E44&lt;17000,3,IF(E44&lt;30000,4,5)))))</f>
        <v>4</v>
      </c>
      <c r="I42" s="20" t="n">
        <f aca="false">IF(F44=0,0,IF(F44&lt;=1,1,IF(F44&lt;=3,2,IF(F44&lt;=6,3,IF(F44&lt;=12,4,5)))))</f>
        <v>2</v>
      </c>
      <c r="J42" s="21" t="n">
        <f aca="false">ROUND((G44*0.5)+(H44*0.3)+(I44*0.2),1)</f>
        <v>2.4</v>
      </c>
    </row>
    <row r="43" customFormat="false" ht="15" hidden="false" customHeight="true" outlineLevel="0" collapsed="false">
      <c r="A43" s="22" t="s">
        <v>89</v>
      </c>
      <c r="B43" s="22" t="s">
        <v>62</v>
      </c>
      <c r="C43" s="22" t="s">
        <v>98</v>
      </c>
      <c r="D43" s="23" t="n">
        <v>9200</v>
      </c>
      <c r="E43" s="23" t="n">
        <v>8100</v>
      </c>
      <c r="F43" s="24" t="n">
        <v>7</v>
      </c>
      <c r="G43" s="20" t="n">
        <f aca="false">IF(D45=0,0,IF(D45&lt;6000,1,IF(D45&lt;12000,2,IF(D45&lt;20000,3,IF(D45&lt;35000,4,5)))))</f>
        <v>2</v>
      </c>
      <c r="H43" s="20" t="n">
        <f aca="false">IF(E45=0,0,IF(E45&lt;5000,1,IF(E45&lt;10000,2,IF(E45&lt;17000,3,IF(E45&lt;30000,4,5)))))</f>
        <v>2</v>
      </c>
      <c r="I43" s="20" t="n">
        <f aca="false">IF(F45=0,0,IF(F45&lt;=1,1,IF(F45&lt;=3,2,IF(F45&lt;=6,3,IF(F45&lt;=12,4,5)))))</f>
        <v>4</v>
      </c>
      <c r="J43" s="21" t="n">
        <f aca="false">ROUND((G45*0.5)+(H45*0.3)+(I45*0.2),1)</f>
        <v>2.4</v>
      </c>
    </row>
    <row r="44" customFormat="false" ht="15" hidden="false" customHeight="true" outlineLevel="0" collapsed="false">
      <c r="A44" s="12" t="s">
        <v>99</v>
      </c>
      <c r="B44" s="12" t="s">
        <v>59</v>
      </c>
      <c r="C44" s="12" t="s">
        <v>100</v>
      </c>
      <c r="D44" s="13" t="n">
        <v>24800</v>
      </c>
      <c r="E44" s="13" t="n">
        <v>21300</v>
      </c>
      <c r="F44" s="14" t="n">
        <v>3</v>
      </c>
      <c r="G44" s="15" t="n">
        <f aca="false">IF(D46=0,0,IF(D46&lt;6000,1,IF(D46&lt;12000,2,IF(D46&lt;20000,3,IF(D46&lt;35000,4,5)))))</f>
        <v>2</v>
      </c>
      <c r="H44" s="15" t="n">
        <f aca="false">IF(E46=0,0,IF(E46&lt;5000,1,IF(E46&lt;10000,2,IF(E46&lt;17000,3,IF(E46&lt;30000,4,5)))))</f>
        <v>2</v>
      </c>
      <c r="I44" s="15" t="n">
        <f aca="false">IF(F46=0,0,IF(F46&lt;=1,1,IF(F46&lt;=3,2,IF(F46&lt;=6,3,IF(F46&lt;=12,4,5)))))</f>
        <v>4</v>
      </c>
      <c r="J44" s="16" t="n">
        <f aca="false">ROUND((G46*0.5)+(H46*0.3)+(I46*0.2),1)</f>
        <v>2</v>
      </c>
    </row>
    <row r="45" customFormat="false" ht="15" hidden="false" customHeight="true" outlineLevel="0" collapsed="false">
      <c r="A45" s="17" t="s">
        <v>99</v>
      </c>
      <c r="B45" s="17" t="s">
        <v>59</v>
      </c>
      <c r="C45" s="17" t="s">
        <v>101</v>
      </c>
      <c r="D45" s="18" t="n">
        <v>8900</v>
      </c>
      <c r="E45" s="18" t="n">
        <v>7600</v>
      </c>
      <c r="F45" s="19" t="n">
        <v>8</v>
      </c>
      <c r="G45" s="20" t="n">
        <f aca="false">IF(D47=0,0,IF(D47&lt;6000,1,IF(D47&lt;12000,2,IF(D47&lt;20000,3,IF(D47&lt;35000,4,5)))))</f>
        <v>2</v>
      </c>
      <c r="H45" s="20" t="n">
        <f aca="false">IF(E47=0,0,IF(E47&lt;5000,1,IF(E47&lt;10000,2,IF(E47&lt;17000,3,IF(E47&lt;30000,4,5)))))</f>
        <v>2</v>
      </c>
      <c r="I45" s="20" t="n">
        <f aca="false">IF(F47=0,0,IF(F47&lt;=1,1,IF(F47&lt;=3,2,IF(F47&lt;=6,3,IF(F47&lt;=12,4,5)))))</f>
        <v>4</v>
      </c>
      <c r="J45" s="21" t="n">
        <f aca="false">ROUND((G47*0.5)+(H47*0.3)+(I47*0.2),1)</f>
        <v>1.4</v>
      </c>
    </row>
    <row r="46" customFormat="false" ht="15" hidden="false" customHeight="true" outlineLevel="0" collapsed="false">
      <c r="A46" s="22" t="s">
        <v>99</v>
      </c>
      <c r="B46" s="22" t="s">
        <v>59</v>
      </c>
      <c r="C46" s="22" t="s">
        <v>102</v>
      </c>
      <c r="D46" s="23" t="n">
        <v>7400</v>
      </c>
      <c r="E46" s="23" t="n">
        <v>6400</v>
      </c>
      <c r="F46" s="24" t="n">
        <v>8</v>
      </c>
      <c r="G46" s="20" t="n">
        <f aca="false">IF(D48=0,0,IF(D48&lt;6000,1,IF(D48&lt;12000,2,IF(D48&lt;20000,3,IF(D48&lt;35000,4,5)))))</f>
        <v>2</v>
      </c>
      <c r="H46" s="20" t="n">
        <f aca="false">IF(E48=0,0,IF(E48&lt;5000,1,IF(E48&lt;10000,2,IF(E48&lt;17000,3,IF(E48&lt;30000,4,5)))))</f>
        <v>2</v>
      </c>
      <c r="I46" s="20" t="n">
        <f aca="false">IF(F48=0,0,IF(F48&lt;=1,1,IF(F48&lt;=3,2,IF(F48&lt;=6,3,IF(F48&lt;=12,4,5)))))</f>
        <v>2</v>
      </c>
      <c r="J46" s="21" t="n">
        <f aca="false">ROUND((G48*0.5)+(H48*0.3)+(I48*0.2),1)</f>
        <v>1.4</v>
      </c>
    </row>
    <row r="47" customFormat="false" ht="15" hidden="false" customHeight="true" outlineLevel="0" collapsed="false">
      <c r="A47" s="17" t="s">
        <v>99</v>
      </c>
      <c r="B47" s="17" t="s">
        <v>59</v>
      </c>
      <c r="C47" s="17" t="s">
        <v>103</v>
      </c>
      <c r="D47" s="18" t="n">
        <v>8500</v>
      </c>
      <c r="E47" s="18" t="n">
        <v>7300</v>
      </c>
      <c r="F47" s="19" t="n">
        <v>8</v>
      </c>
      <c r="G47" s="20" t="n">
        <f aca="false">IF(D49=0,0,IF(D49&lt;6000,1,IF(D49&lt;12000,2,IF(D49&lt;20000,3,IF(D49&lt;35000,4,5)))))</f>
        <v>1</v>
      </c>
      <c r="H47" s="20" t="n">
        <f aca="false">IF(E49=0,0,IF(E49&lt;5000,1,IF(E49&lt;10000,2,IF(E49&lt;17000,3,IF(E49&lt;30000,4,5)))))</f>
        <v>1</v>
      </c>
      <c r="I47" s="20" t="n">
        <f aca="false">IF(F49=0,0,IF(F49&lt;=1,1,IF(F49&lt;=3,2,IF(F49&lt;=6,3,IF(F49&lt;=12,4,5)))))</f>
        <v>3</v>
      </c>
      <c r="J47" s="21" t="n">
        <f aca="false">ROUND((G49*0.5)+(H49*0.3)+(I49*0.2),1)</f>
        <v>1.4</v>
      </c>
    </row>
    <row r="48" customFormat="false" ht="15" hidden="false" customHeight="true" outlineLevel="0" collapsed="false">
      <c r="A48" s="12" t="s">
        <v>99</v>
      </c>
      <c r="B48" s="12" t="s">
        <v>65</v>
      </c>
      <c r="C48" s="12" t="s">
        <v>104</v>
      </c>
      <c r="D48" s="13" t="n">
        <v>10200</v>
      </c>
      <c r="E48" s="13" t="n">
        <v>9100</v>
      </c>
      <c r="F48" s="14" t="n">
        <v>3</v>
      </c>
      <c r="G48" s="15" t="n">
        <f aca="false">IF(D50=0,0,IF(D50&lt;6000,1,IF(D50&lt;12000,2,IF(D50&lt;20000,3,IF(D50&lt;35000,4,5)))))</f>
        <v>1</v>
      </c>
      <c r="H48" s="15" t="n">
        <f aca="false">IF(E50=0,0,IF(E50&lt;5000,1,IF(E50&lt;10000,2,IF(E50&lt;17000,3,IF(E50&lt;30000,4,5)))))</f>
        <v>1</v>
      </c>
      <c r="I48" s="15" t="n">
        <f aca="false">IF(F50=0,0,IF(F50&lt;=1,1,IF(F50&lt;=3,2,IF(F50&lt;=6,3,IF(F50&lt;=12,4,5)))))</f>
        <v>3</v>
      </c>
      <c r="J48" s="16" t="n">
        <f aca="false">ROUND((G50*0.5)+(H50*0.3)+(I50*0.2),1)</f>
        <v>2</v>
      </c>
    </row>
    <row r="49" customFormat="false" ht="15" hidden="false" customHeight="true" outlineLevel="0" collapsed="false">
      <c r="A49" s="17" t="s">
        <v>99</v>
      </c>
      <c r="B49" s="17" t="s">
        <v>65</v>
      </c>
      <c r="C49" s="17" t="s">
        <v>105</v>
      </c>
      <c r="D49" s="18" t="n">
        <v>5200</v>
      </c>
      <c r="E49" s="18" t="n">
        <v>4600</v>
      </c>
      <c r="F49" s="19" t="n">
        <v>4</v>
      </c>
      <c r="G49" s="20" t="n">
        <f aca="false">IF(D51=0,0,IF(D51&lt;6000,1,IF(D51&lt;12000,2,IF(D51&lt;20000,3,IF(D51&lt;35000,4,5)))))</f>
        <v>1</v>
      </c>
      <c r="H49" s="20" t="n">
        <f aca="false">IF(E51=0,0,IF(E51&lt;5000,1,IF(E51&lt;10000,2,IF(E51&lt;17000,3,IF(E51&lt;30000,4,5)))))</f>
        <v>1</v>
      </c>
      <c r="I49" s="20" t="n">
        <f aca="false">IF(F51=0,0,IF(F51&lt;=1,1,IF(F51&lt;=3,2,IF(F51&lt;=6,3,IF(F51&lt;=12,4,5)))))</f>
        <v>3</v>
      </c>
      <c r="J49" s="21" t="n">
        <f aca="false">ROUND((G51*0.5)+(H51*0.3)+(I51*0.2),1)</f>
        <v>1.2</v>
      </c>
    </row>
    <row r="50" customFormat="false" ht="15" hidden="false" customHeight="true" outlineLevel="0" collapsed="false">
      <c r="A50" s="22" t="s">
        <v>99</v>
      </c>
      <c r="B50" s="22" t="s">
        <v>65</v>
      </c>
      <c r="C50" s="22" t="s">
        <v>106</v>
      </c>
      <c r="D50" s="23" t="n">
        <v>3100</v>
      </c>
      <c r="E50" s="23" t="n">
        <v>2800</v>
      </c>
      <c r="F50" s="24" t="n">
        <v>5</v>
      </c>
      <c r="G50" s="20" t="n">
        <f aca="false">IF(D52=0,0,IF(D52&lt;6000,1,IF(D52&lt;12000,2,IF(D52&lt;20000,3,IF(D52&lt;35000,4,5)))))</f>
        <v>2</v>
      </c>
      <c r="H50" s="20" t="n">
        <f aca="false">IF(E52=0,0,IF(E52&lt;5000,1,IF(E52&lt;10000,2,IF(E52&lt;17000,3,IF(E52&lt;30000,4,5)))))</f>
        <v>2</v>
      </c>
      <c r="I50" s="20" t="n">
        <f aca="false">IF(F52=0,0,IF(F52&lt;=1,1,IF(F52&lt;=3,2,IF(F52&lt;=6,3,IF(F52&lt;=12,4,5)))))</f>
        <v>2</v>
      </c>
      <c r="J50" s="21" t="n">
        <f aca="false">ROUND((G52*0.5)+(H52*0.3)+(I52*0.2),1)</f>
        <v>1.2</v>
      </c>
    </row>
    <row r="51" customFormat="false" ht="15" hidden="false" customHeight="true" outlineLevel="0" collapsed="false">
      <c r="A51" s="17" t="s">
        <v>99</v>
      </c>
      <c r="B51" s="17" t="s">
        <v>65</v>
      </c>
      <c r="C51" s="17" t="s">
        <v>107</v>
      </c>
      <c r="D51" s="18" t="n">
        <v>1900</v>
      </c>
      <c r="E51" s="18" t="n">
        <v>1700</v>
      </c>
      <c r="F51" s="19" t="n">
        <v>4</v>
      </c>
      <c r="G51" s="20" t="n">
        <f aca="false">IF(D53=0,0,IF(D53&lt;6000,1,IF(D53&lt;12000,2,IF(D53&lt;20000,3,IF(D53&lt;35000,4,5)))))</f>
        <v>1</v>
      </c>
      <c r="H51" s="20" t="n">
        <f aca="false">IF(E53=0,0,IF(E53&lt;5000,1,IF(E53&lt;10000,2,IF(E53&lt;17000,3,IF(E53&lt;30000,4,5)))))</f>
        <v>1</v>
      </c>
      <c r="I51" s="20" t="n">
        <f aca="false">IF(F53=0,0,IF(F53&lt;=1,1,IF(F53&lt;=3,2,IF(F53&lt;=6,3,IF(F53&lt;=12,4,5)))))</f>
        <v>2</v>
      </c>
      <c r="J51" s="21" t="n">
        <f aca="false">ROUND((G53*0.5)+(H53*0.3)+(I53*0.2),1)</f>
        <v>1</v>
      </c>
    </row>
    <row r="52" customFormat="false" ht="15" hidden="false" customHeight="true" outlineLevel="0" collapsed="false">
      <c r="A52" s="12" t="s">
        <v>108</v>
      </c>
      <c r="B52" s="12" t="s">
        <v>56</v>
      </c>
      <c r="C52" s="12" t="s">
        <v>109</v>
      </c>
      <c r="D52" s="13" t="n">
        <v>7800</v>
      </c>
      <c r="E52" s="13" t="n">
        <v>6900</v>
      </c>
      <c r="F52" s="14" t="n">
        <v>3</v>
      </c>
      <c r="G52" s="15" t="n">
        <f aca="false">IF(D54=0,0,IF(D54&lt;6000,1,IF(D54&lt;12000,2,IF(D54&lt;20000,3,IF(D54&lt;35000,4,5)))))</f>
        <v>1</v>
      </c>
      <c r="H52" s="15" t="n">
        <f aca="false">IF(E54=0,0,IF(E54&lt;5000,1,IF(E54&lt;10000,2,IF(E54&lt;17000,3,IF(E54&lt;30000,4,5)))))</f>
        <v>1</v>
      </c>
      <c r="I52" s="15" t="n">
        <f aca="false">IF(F54=0,0,IF(F54&lt;=1,1,IF(F54&lt;=3,2,IF(F54&lt;=6,3,IF(F54&lt;=12,4,5)))))</f>
        <v>2</v>
      </c>
      <c r="J52" s="16" t="n">
        <f aca="false">ROUND((G54*0.5)+(H54*0.3)+(I54*0.2),1)</f>
        <v>2</v>
      </c>
    </row>
    <row r="53" customFormat="false" ht="15" hidden="false" customHeight="true" outlineLevel="0" collapsed="false">
      <c r="A53" s="17" t="s">
        <v>108</v>
      </c>
      <c r="B53" s="17" t="s">
        <v>56</v>
      </c>
      <c r="C53" s="17" t="s">
        <v>110</v>
      </c>
      <c r="D53" s="18" t="n">
        <v>2800</v>
      </c>
      <c r="E53" s="18" t="n">
        <v>2500</v>
      </c>
      <c r="F53" s="19" t="n">
        <v>2</v>
      </c>
      <c r="G53" s="20" t="n">
        <f aca="false">IF(D55=0,0,IF(D55&lt;6000,1,IF(D55&lt;12000,2,IF(D55&lt;20000,3,IF(D55&lt;35000,4,5)))))</f>
        <v>1</v>
      </c>
      <c r="H53" s="20" t="n">
        <f aca="false">IF(E55=0,0,IF(E55&lt;5000,1,IF(E55&lt;10000,2,IF(E55&lt;17000,3,IF(E55&lt;30000,4,5)))))</f>
        <v>1</v>
      </c>
      <c r="I53" s="20" t="n">
        <f aca="false">IF(F55=0,0,IF(F55&lt;=1,1,IF(F55&lt;=3,2,IF(F55&lt;=6,3,IF(F55&lt;=12,4,5)))))</f>
        <v>1</v>
      </c>
      <c r="J53" s="21" t="n">
        <f aca="false">ROUND((G55*0.5)+(H55*0.3)+(I55*0.2),1)</f>
        <v>1</v>
      </c>
    </row>
    <row r="54" customFormat="false" ht="15" hidden="false" customHeight="true" outlineLevel="0" collapsed="false">
      <c r="A54" s="22" t="s">
        <v>108</v>
      </c>
      <c r="B54" s="22" t="s">
        <v>56</v>
      </c>
      <c r="C54" s="22" t="s">
        <v>111</v>
      </c>
      <c r="D54" s="23" t="n">
        <v>3200</v>
      </c>
      <c r="E54" s="23" t="n">
        <v>2800</v>
      </c>
      <c r="F54" s="24" t="n">
        <v>2</v>
      </c>
      <c r="G54" s="20" t="n">
        <f aca="false">IF(D56=0,0,IF(D56&lt;6000,1,IF(D56&lt;12000,2,IF(D56&lt;20000,3,IF(D56&lt;35000,4,5)))))</f>
        <v>2</v>
      </c>
      <c r="H54" s="20" t="n">
        <f aca="false">IF(E56=0,0,IF(E56&lt;5000,1,IF(E56&lt;10000,2,IF(E56&lt;17000,3,IF(E56&lt;30000,4,5)))))</f>
        <v>2</v>
      </c>
      <c r="I54" s="20" t="n">
        <f aca="false">IF(F56=0,0,IF(F56&lt;=1,1,IF(F56&lt;=3,2,IF(F56&lt;=6,3,IF(F56&lt;=12,4,5)))))</f>
        <v>2</v>
      </c>
      <c r="J54" s="21" t="n">
        <f aca="false">ROUND((G56*0.5)+(H56*0.3)+(I56*0.2),1)</f>
        <v>1</v>
      </c>
    </row>
    <row r="55" customFormat="false" ht="15" hidden="false" customHeight="true" outlineLevel="0" collapsed="false">
      <c r="A55" s="17" t="s">
        <v>108</v>
      </c>
      <c r="B55" s="17" t="s">
        <v>56</v>
      </c>
      <c r="C55" s="17" t="s">
        <v>112</v>
      </c>
      <c r="D55" s="18" t="n">
        <v>1800</v>
      </c>
      <c r="E55" s="18" t="n">
        <v>1600</v>
      </c>
      <c r="F55" s="19" t="n">
        <v>1</v>
      </c>
      <c r="G55" s="20" t="n">
        <f aca="false">IF(D57=0,0,IF(D57&lt;6000,1,IF(D57&lt;12000,2,IF(D57&lt;20000,3,IF(D57&lt;35000,4,5)))))</f>
        <v>1</v>
      </c>
      <c r="H55" s="20" t="n">
        <f aca="false">IF(E57=0,0,IF(E57&lt;5000,1,IF(E57&lt;10000,2,IF(E57&lt;17000,3,IF(E57&lt;30000,4,5)))))</f>
        <v>1</v>
      </c>
      <c r="I55" s="20" t="n">
        <f aca="false">IF(F57=0,0,IF(F57&lt;=1,1,IF(F57&lt;=3,2,IF(F57&lt;=6,3,IF(F57&lt;=12,4,5)))))</f>
        <v>1</v>
      </c>
      <c r="J55" s="21" t="n">
        <f aca="false">ROUND((G57*0.5)+(H57*0.3)+(I57*0.2),1)</f>
        <v>1.2</v>
      </c>
    </row>
    <row r="56" customFormat="false" ht="15" hidden="false" customHeight="true" outlineLevel="0" collapsed="false">
      <c r="A56" s="12" t="s">
        <v>108</v>
      </c>
      <c r="B56" s="12" t="s">
        <v>59</v>
      </c>
      <c r="C56" s="12" t="s">
        <v>113</v>
      </c>
      <c r="D56" s="13" t="n">
        <v>6400</v>
      </c>
      <c r="E56" s="13" t="n">
        <v>5700</v>
      </c>
      <c r="F56" s="14" t="n">
        <v>2</v>
      </c>
      <c r="G56" s="15" t="n">
        <f aca="false">IF(D58=0,0,IF(D58&lt;6000,1,IF(D58&lt;12000,2,IF(D58&lt;20000,3,IF(D58&lt;35000,4,5)))))</f>
        <v>1</v>
      </c>
      <c r="H56" s="15" t="n">
        <f aca="false">IF(E58=0,0,IF(E58&lt;5000,1,IF(E58&lt;10000,2,IF(E58&lt;17000,3,IF(E58&lt;30000,4,5)))))</f>
        <v>1</v>
      </c>
      <c r="I56" s="15" t="n">
        <f aca="false">IF(F58=0,0,IF(F58&lt;=1,1,IF(F58&lt;=3,2,IF(F58&lt;=6,3,IF(F58&lt;=12,4,5)))))</f>
        <v>1</v>
      </c>
      <c r="J56" s="16" t="n">
        <f aca="false">ROUND((G58*0.5)+(H58*0.3)+(I58*0.2),1)</f>
        <v>1</v>
      </c>
    </row>
    <row r="57" customFormat="false" ht="15" hidden="false" customHeight="true" outlineLevel="0" collapsed="false">
      <c r="A57" s="17" t="s">
        <v>108</v>
      </c>
      <c r="B57" s="17" t="s">
        <v>59</v>
      </c>
      <c r="C57" s="17" t="s">
        <v>114</v>
      </c>
      <c r="D57" s="18" t="n">
        <v>3900</v>
      </c>
      <c r="E57" s="18" t="n">
        <v>3400</v>
      </c>
      <c r="F57" s="19" t="n">
        <v>1</v>
      </c>
      <c r="G57" s="20" t="n">
        <f aca="false">IF(D59=0,0,IF(D59&lt;6000,1,IF(D59&lt;12000,2,IF(D59&lt;20000,3,IF(D59&lt;35000,4,5)))))</f>
        <v>1</v>
      </c>
      <c r="H57" s="20" t="n">
        <f aca="false">IF(E59=0,0,IF(E59&lt;5000,1,IF(E59&lt;10000,2,IF(E59&lt;17000,3,IF(E59&lt;30000,4,5)))))</f>
        <v>1</v>
      </c>
      <c r="I57" s="20" t="n">
        <f aca="false">IF(F59=0,0,IF(F59&lt;=1,1,IF(F59&lt;=3,2,IF(F59&lt;=6,3,IF(F59&lt;=12,4,5)))))</f>
        <v>2</v>
      </c>
      <c r="J57" s="21" t="n">
        <f aca="false">ROUND((G59*0.5)+(H59*0.3)+(I59*0.2),1)</f>
        <v>1</v>
      </c>
    </row>
    <row r="58" customFormat="false" ht="15" hidden="false" customHeight="true" outlineLevel="0" collapsed="false">
      <c r="A58" s="22" t="s">
        <v>108</v>
      </c>
      <c r="B58" s="22" t="s">
        <v>59</v>
      </c>
      <c r="C58" s="22" t="s">
        <v>115</v>
      </c>
      <c r="D58" s="23" t="n">
        <v>2500</v>
      </c>
      <c r="E58" s="23" t="n">
        <v>2300</v>
      </c>
      <c r="F58" s="24" t="n">
        <v>1</v>
      </c>
      <c r="G58" s="20" t="n">
        <f aca="false">IF(D60=0,0,IF(D60&lt;6000,1,IF(D60&lt;12000,2,IF(D60&lt;20000,3,IF(D60&lt;35000,4,5)))))</f>
        <v>1</v>
      </c>
      <c r="H58" s="20" t="n">
        <f aca="false">IF(E60=0,0,IF(E60&lt;5000,1,IF(E60&lt;10000,2,IF(E60&lt;17000,3,IF(E60&lt;30000,4,5)))))</f>
        <v>1</v>
      </c>
      <c r="I58" s="20" t="n">
        <f aca="false">IF(F60=0,0,IF(F60&lt;=1,1,IF(F60&lt;=3,2,IF(F60&lt;=6,3,IF(F60&lt;=12,4,5)))))</f>
        <v>1</v>
      </c>
      <c r="J58" s="21" t="n">
        <f aca="false">ROUND((G60*0.5)+(H60*0.3)+(I60*0.2),1)</f>
        <v>2</v>
      </c>
    </row>
    <row r="59" customFormat="false" ht="15" hidden="false" customHeight="true" outlineLevel="0" collapsed="false">
      <c r="A59" s="12" t="s">
        <v>108</v>
      </c>
      <c r="B59" s="12" t="s">
        <v>68</v>
      </c>
      <c r="C59" s="12" t="s">
        <v>116</v>
      </c>
      <c r="D59" s="13" t="n">
        <v>4900</v>
      </c>
      <c r="E59" s="13" t="n">
        <v>4300</v>
      </c>
      <c r="F59" s="14" t="n">
        <v>2</v>
      </c>
      <c r="G59" s="15" t="n">
        <f aca="false">IF(D61=0,0,IF(D61&lt;6000,1,IF(D61&lt;12000,2,IF(D61&lt;20000,3,IF(D61&lt;35000,4,5)))))</f>
        <v>1</v>
      </c>
      <c r="H59" s="15" t="n">
        <f aca="false">IF(E61=0,0,IF(E61&lt;5000,1,IF(E61&lt;10000,2,IF(E61&lt;17000,3,IF(E61&lt;30000,4,5)))))</f>
        <v>1</v>
      </c>
      <c r="I59" s="15" t="n">
        <f aca="false">IF(F61=0,0,IF(F61&lt;=1,1,IF(F61&lt;=3,2,IF(F61&lt;=6,3,IF(F61&lt;=12,4,5)))))</f>
        <v>1</v>
      </c>
      <c r="J59" s="16" t="n">
        <f aca="false">ROUND((G61*0.5)+(H61*0.3)+(I61*0.2),1)</f>
        <v>1.2</v>
      </c>
    </row>
    <row r="60" customFormat="false" ht="15" hidden="false" customHeight="true" outlineLevel="0" collapsed="false">
      <c r="A60" s="17" t="s">
        <v>108</v>
      </c>
      <c r="B60" s="17" t="s">
        <v>68</v>
      </c>
      <c r="C60" s="17" t="s">
        <v>117</v>
      </c>
      <c r="D60" s="18" t="n">
        <v>2900</v>
      </c>
      <c r="E60" s="18" t="n">
        <v>2500</v>
      </c>
      <c r="F60" s="19" t="n">
        <v>1</v>
      </c>
      <c r="G60" s="20" t="n">
        <f aca="false">IF(D62=0,0,IF(D62&lt;6000,1,IF(D62&lt;12000,2,IF(D62&lt;20000,3,IF(D62&lt;35000,4,5)))))</f>
        <v>2</v>
      </c>
      <c r="H60" s="20" t="n">
        <f aca="false">IF(E62=0,0,IF(E62&lt;5000,1,IF(E62&lt;10000,2,IF(E62&lt;17000,3,IF(E62&lt;30000,4,5)))))</f>
        <v>2</v>
      </c>
      <c r="I60" s="20" t="n">
        <f aca="false">IF(F62=0,0,IF(F62&lt;=1,1,IF(F62&lt;=3,2,IF(F62&lt;=6,3,IF(F62&lt;=12,4,5)))))</f>
        <v>2</v>
      </c>
      <c r="J60" s="21" t="n">
        <f aca="false">ROUND((G62*0.5)+(H62*0.3)+(I62*0.2),1)</f>
        <v>1.2</v>
      </c>
    </row>
    <row r="61" customFormat="false" ht="15" hidden="false" customHeight="true" outlineLevel="0" collapsed="false">
      <c r="A61" s="22" t="s">
        <v>108</v>
      </c>
      <c r="B61" s="22" t="s">
        <v>68</v>
      </c>
      <c r="C61" s="22" t="s">
        <v>118</v>
      </c>
      <c r="D61" s="23" t="n">
        <v>2000</v>
      </c>
      <c r="E61" s="23" t="n">
        <v>1800</v>
      </c>
      <c r="F61" s="24" t="n">
        <v>1</v>
      </c>
      <c r="G61" s="20" t="n">
        <f aca="false">IF(D63=0,0,IF(D63&lt;6000,1,IF(D63&lt;12000,2,IF(D63&lt;20000,3,IF(D63&lt;35000,4,5)))))</f>
        <v>1</v>
      </c>
      <c r="H61" s="20" t="n">
        <f aca="false">IF(E63=0,0,IF(E63&lt;5000,1,IF(E63&lt;10000,2,IF(E63&lt;17000,3,IF(E63&lt;30000,4,5)))))</f>
        <v>1</v>
      </c>
      <c r="I61" s="20" t="n">
        <f aca="false">IF(F63=0,0,IF(F63&lt;=1,1,IF(F63&lt;=3,2,IF(F63&lt;=6,3,IF(F63&lt;=12,4,5)))))</f>
        <v>2</v>
      </c>
      <c r="J61" s="21" t="n">
        <f aca="false">ROUND((G63*0.5)+(H63*0.3)+(I63*0.2),1)</f>
        <v>1</v>
      </c>
    </row>
    <row r="62" customFormat="false" ht="15" hidden="false" customHeight="true" outlineLevel="0" collapsed="false">
      <c r="A62" s="12" t="s">
        <v>108</v>
      </c>
      <c r="B62" s="12" t="s">
        <v>119</v>
      </c>
      <c r="C62" s="12" t="s">
        <v>120</v>
      </c>
      <c r="D62" s="13" t="n">
        <v>8200</v>
      </c>
      <c r="E62" s="13" t="n">
        <v>7400</v>
      </c>
      <c r="F62" s="14" t="n">
        <v>3</v>
      </c>
      <c r="G62" s="15" t="n">
        <f aca="false">IF(D64=0,0,IF(D64&lt;6000,1,IF(D64&lt;12000,2,IF(D64&lt;20000,3,IF(D64&lt;35000,4,5)))))</f>
        <v>1</v>
      </c>
      <c r="H62" s="15" t="n">
        <f aca="false">IF(E64=0,0,IF(E64&lt;5000,1,IF(E64&lt;10000,2,IF(E64&lt;17000,3,IF(E64&lt;30000,4,5)))))</f>
        <v>1</v>
      </c>
      <c r="I62" s="15" t="n">
        <f aca="false">IF(F64=0,0,IF(F64&lt;=1,1,IF(F64&lt;=3,2,IF(F64&lt;=6,3,IF(F64&lt;=12,4,5)))))</f>
        <v>2</v>
      </c>
      <c r="J62" s="16" t="n">
        <f aca="false">ROUND((G64*0.5)+(H64*0.3)+(I64*0.2),1)</f>
        <v>1.2</v>
      </c>
    </row>
    <row r="63" customFormat="false" ht="15" hidden="false" customHeight="true" outlineLevel="0" collapsed="false">
      <c r="A63" s="17" t="s">
        <v>108</v>
      </c>
      <c r="B63" s="17" t="s">
        <v>119</v>
      </c>
      <c r="C63" s="17" t="s">
        <v>121</v>
      </c>
      <c r="D63" s="18" t="n">
        <v>4100</v>
      </c>
      <c r="E63" s="18" t="n">
        <v>3700</v>
      </c>
      <c r="F63" s="19" t="n">
        <v>2</v>
      </c>
      <c r="G63" s="20" t="n">
        <f aca="false">IF(D65=0,0,IF(D65&lt;6000,1,IF(D65&lt;12000,2,IF(D65&lt;20000,3,IF(D65&lt;35000,4,5)))))</f>
        <v>1</v>
      </c>
      <c r="H63" s="20" t="n">
        <f aca="false">IF(E65=0,0,IF(E65&lt;5000,1,IF(E65&lt;10000,2,IF(E65&lt;17000,3,IF(E65&lt;30000,4,5)))))</f>
        <v>1</v>
      </c>
      <c r="I63" s="20" t="n">
        <f aca="false">IF(F65=0,0,IF(F65&lt;=1,1,IF(F65&lt;=3,2,IF(F65&lt;=6,3,IF(F65&lt;=12,4,5)))))</f>
        <v>1</v>
      </c>
      <c r="J63" s="21" t="n">
        <f aca="false">ROUND((G65*0.5)+(H65*0.3)+(I65*0.2),1)</f>
        <v>1</v>
      </c>
    </row>
    <row r="64" customFormat="false" ht="15" hidden="false" customHeight="true" outlineLevel="0" collapsed="false">
      <c r="A64" s="22" t="s">
        <v>108</v>
      </c>
      <c r="B64" s="22" t="s">
        <v>119</v>
      </c>
      <c r="C64" s="22" t="s">
        <v>122</v>
      </c>
      <c r="D64" s="23" t="n">
        <v>2200</v>
      </c>
      <c r="E64" s="23" t="n">
        <v>1900</v>
      </c>
      <c r="F64" s="24" t="n">
        <v>2</v>
      </c>
      <c r="G64" s="20" t="n">
        <f aca="false">IF(D66=0,0,IF(D66&lt;6000,1,IF(D66&lt;12000,2,IF(D66&lt;20000,3,IF(D66&lt;35000,4,5)))))</f>
        <v>1</v>
      </c>
      <c r="H64" s="20" t="n">
        <f aca="false">IF(E66=0,0,IF(E66&lt;5000,1,IF(E66&lt;10000,2,IF(E66&lt;17000,3,IF(E66&lt;30000,4,5)))))</f>
        <v>1</v>
      </c>
      <c r="I64" s="20" t="n">
        <f aca="false">IF(F66=0,0,IF(F66&lt;=1,1,IF(F66&lt;=3,2,IF(F66&lt;=6,3,IF(F66&lt;=12,4,5)))))</f>
        <v>2</v>
      </c>
      <c r="J64" s="21" t="n">
        <f aca="false">ROUND((G66*0.5)+(H66*0.3)+(I66*0.2),1)</f>
        <v>1</v>
      </c>
    </row>
    <row r="65" customFormat="false" ht="15" hidden="false" customHeight="true" outlineLevel="0" collapsed="false">
      <c r="A65" s="17" t="s">
        <v>108</v>
      </c>
      <c r="B65" s="17" t="s">
        <v>119</v>
      </c>
      <c r="C65" s="17" t="s">
        <v>123</v>
      </c>
      <c r="D65" s="18" t="n">
        <v>1900</v>
      </c>
      <c r="E65" s="18" t="n">
        <v>1800</v>
      </c>
      <c r="F65" s="19" t="n">
        <v>1</v>
      </c>
      <c r="G65" s="20" t="n">
        <f aca="false">IF(D67=0,0,IF(D67&lt;6000,1,IF(D67&lt;12000,2,IF(D67&lt;20000,3,IF(D67&lt;35000,4,5)))))</f>
        <v>1</v>
      </c>
      <c r="H65" s="20" t="n">
        <f aca="false">IF(E67=0,0,IF(E67&lt;5000,1,IF(E67&lt;10000,2,IF(E67&lt;17000,3,IF(E67&lt;30000,4,5)))))</f>
        <v>1</v>
      </c>
      <c r="I65" s="20" t="n">
        <f aca="false">IF(F67=0,0,IF(F67&lt;=1,1,IF(F67&lt;=3,2,IF(F67&lt;=6,3,IF(F67&lt;=12,4,5)))))</f>
        <v>1</v>
      </c>
      <c r="J65" s="21" t="n">
        <f aca="false">ROUND((G67*0.5)+(H67*0.3)+(I67*0.2),1)</f>
        <v>2</v>
      </c>
    </row>
    <row r="66" customFormat="false" ht="15" hidden="false" customHeight="true" outlineLevel="0" collapsed="false">
      <c r="A66" s="12" t="s">
        <v>108</v>
      </c>
      <c r="B66" s="12" t="s">
        <v>53</v>
      </c>
      <c r="C66" s="12" t="s">
        <v>124</v>
      </c>
      <c r="D66" s="13" t="n">
        <v>3100</v>
      </c>
      <c r="E66" s="13" t="n">
        <v>2800</v>
      </c>
      <c r="F66" s="14" t="n">
        <v>2</v>
      </c>
      <c r="G66" s="15" t="n">
        <f aca="false">IF(D68=0,0,IF(D68&lt;6000,1,IF(D68&lt;12000,2,IF(D68&lt;20000,3,IF(D68&lt;35000,4,5)))))</f>
        <v>1</v>
      </c>
      <c r="H66" s="15" t="n">
        <f aca="false">IF(E68=0,0,IF(E68&lt;5000,1,IF(E68&lt;10000,2,IF(E68&lt;17000,3,IF(E68&lt;30000,4,5)))))</f>
        <v>1</v>
      </c>
      <c r="I66" s="15" t="n">
        <f aca="false">IF(F68=0,0,IF(F68&lt;=1,1,IF(F68&lt;=3,2,IF(F68&lt;=6,3,IF(F68&lt;=12,4,5)))))</f>
        <v>1</v>
      </c>
      <c r="J66" s="16" t="n">
        <f aca="false">ROUND((G68*0.5)+(H68*0.3)+(I68*0.2),1)</f>
        <v>1.2</v>
      </c>
    </row>
    <row r="67" customFormat="false" ht="15" hidden="false" customHeight="true" outlineLevel="0" collapsed="false">
      <c r="A67" s="17" t="s">
        <v>108</v>
      </c>
      <c r="B67" s="17" t="s">
        <v>53</v>
      </c>
      <c r="C67" s="17" t="s">
        <v>125</v>
      </c>
      <c r="D67" s="18" t="n">
        <v>1800</v>
      </c>
      <c r="E67" s="18" t="n">
        <v>1600</v>
      </c>
      <c r="F67" s="19" t="n">
        <v>1</v>
      </c>
      <c r="G67" s="20" t="n">
        <f aca="false">IF(D69=0,0,IF(D69&lt;6000,1,IF(D69&lt;12000,2,IF(D69&lt;20000,3,IF(D69&lt;35000,4,5)))))</f>
        <v>2</v>
      </c>
      <c r="H67" s="20" t="n">
        <f aca="false">IF(E69=0,0,IF(E69&lt;5000,1,IF(E69&lt;10000,2,IF(E69&lt;17000,3,IF(E69&lt;30000,4,5)))))</f>
        <v>2</v>
      </c>
      <c r="I67" s="20" t="n">
        <f aca="false">IF(F69=0,0,IF(F69&lt;=1,1,IF(F69&lt;=3,2,IF(F69&lt;=6,3,IF(F69&lt;=12,4,5)))))</f>
        <v>2</v>
      </c>
      <c r="J67" s="21" t="n">
        <f aca="false">ROUND((G69*0.5)+(H69*0.3)+(I69*0.2),1)</f>
        <v>1</v>
      </c>
    </row>
    <row r="68" customFormat="false" ht="15" hidden="false" customHeight="true" outlineLevel="0" collapsed="false">
      <c r="A68" s="22" t="s">
        <v>108</v>
      </c>
      <c r="B68" s="22" t="s">
        <v>53</v>
      </c>
      <c r="C68" s="22" t="s">
        <v>126</v>
      </c>
      <c r="D68" s="23" t="n">
        <v>1300</v>
      </c>
      <c r="E68" s="23" t="n">
        <v>1200</v>
      </c>
      <c r="F68" s="24" t="n">
        <v>1</v>
      </c>
      <c r="G68" s="20" t="n">
        <f aca="false">IF(D70=0,0,IF(D70&lt;6000,1,IF(D70&lt;12000,2,IF(D70&lt;20000,3,IF(D70&lt;35000,4,5)))))</f>
        <v>1</v>
      </c>
      <c r="H68" s="20" t="n">
        <f aca="false">IF(E70=0,0,IF(E70&lt;5000,1,IF(E70&lt;10000,2,IF(E70&lt;17000,3,IF(E70&lt;30000,4,5)))))</f>
        <v>1</v>
      </c>
      <c r="I68" s="20" t="n">
        <f aca="false">IF(F70=0,0,IF(F70&lt;=1,1,IF(F70&lt;=3,2,IF(F70&lt;=6,3,IF(F70&lt;=12,4,5)))))</f>
        <v>2</v>
      </c>
      <c r="J68" s="21" t="n">
        <f aca="false">ROUND((G70*0.5)+(H70*0.3)+(I70*0.2),1)</f>
        <v>1</v>
      </c>
    </row>
    <row r="69" customFormat="false" ht="15" hidden="false" customHeight="true" outlineLevel="0" collapsed="false">
      <c r="A69" s="12" t="s">
        <v>127</v>
      </c>
      <c r="B69" s="12" t="s">
        <v>59</v>
      </c>
      <c r="C69" s="12" t="s">
        <v>128</v>
      </c>
      <c r="D69" s="13" t="n">
        <v>9600</v>
      </c>
      <c r="E69" s="13" t="n">
        <v>8500</v>
      </c>
      <c r="F69" s="14" t="n">
        <v>3</v>
      </c>
      <c r="G69" s="15" t="n">
        <f aca="false">IF(D71=0,0,IF(D71&lt;6000,1,IF(D71&lt;12000,2,IF(D71&lt;20000,3,IF(D71&lt;35000,4,5)))))</f>
        <v>1</v>
      </c>
      <c r="H69" s="15" t="n">
        <f aca="false">IF(E71=0,0,IF(E71&lt;5000,1,IF(E71&lt;10000,2,IF(E71&lt;17000,3,IF(E71&lt;30000,4,5)))))</f>
        <v>1</v>
      </c>
      <c r="I69" s="15" t="n">
        <f aca="false">IF(F71=0,0,IF(F71&lt;=1,1,IF(F71&lt;=3,2,IF(F71&lt;=6,3,IF(F71&lt;=12,4,5)))))</f>
        <v>1</v>
      </c>
      <c r="J69" s="16" t="n">
        <f aca="false">ROUND((G71*0.5)+(H71*0.3)+(I71*0.2),1)</f>
        <v>3</v>
      </c>
    </row>
    <row r="70" customFormat="false" ht="15" hidden="false" customHeight="true" outlineLevel="0" collapsed="false">
      <c r="A70" s="17" t="s">
        <v>127</v>
      </c>
      <c r="B70" s="17" t="s">
        <v>59</v>
      </c>
      <c r="C70" s="17" t="s">
        <v>129</v>
      </c>
      <c r="D70" s="18" t="n">
        <v>4200</v>
      </c>
      <c r="E70" s="18" t="n">
        <v>3700</v>
      </c>
      <c r="F70" s="19" t="n">
        <v>2</v>
      </c>
      <c r="G70" s="20" t="n">
        <f aca="false">IF(D72=0,0,IF(D72&lt;6000,1,IF(D72&lt;12000,2,IF(D72&lt;20000,3,IF(D72&lt;35000,4,5)))))</f>
        <v>1</v>
      </c>
      <c r="H70" s="20" t="n">
        <f aca="false">IF(E72=0,0,IF(E72&lt;5000,1,IF(E72&lt;10000,2,IF(E72&lt;17000,3,IF(E72&lt;30000,4,5)))))</f>
        <v>1</v>
      </c>
      <c r="I70" s="20" t="n">
        <f aca="false">IF(F72=0,0,IF(F72&lt;=1,1,IF(F72&lt;=3,2,IF(F72&lt;=6,3,IF(F72&lt;=12,4,5)))))</f>
        <v>1</v>
      </c>
      <c r="J70" s="21" t="n">
        <f aca="false">ROUND((G72*0.5)+(H72*0.3)+(I72*0.2),1)</f>
        <v>1.2</v>
      </c>
    </row>
    <row r="71" customFormat="false" ht="15" hidden="false" customHeight="true" outlineLevel="0" collapsed="false">
      <c r="A71" s="22" t="s">
        <v>127</v>
      </c>
      <c r="B71" s="22" t="s">
        <v>59</v>
      </c>
      <c r="C71" s="22" t="s">
        <v>130</v>
      </c>
      <c r="D71" s="23" t="n">
        <v>3100</v>
      </c>
      <c r="E71" s="23" t="n">
        <v>2800</v>
      </c>
      <c r="F71" s="24" t="n">
        <v>1</v>
      </c>
      <c r="G71" s="20" t="n">
        <f aca="false">IF(D73=0,0,IF(D73&lt;6000,1,IF(D73&lt;12000,2,IF(D73&lt;20000,3,IF(D73&lt;35000,4,5)))))</f>
        <v>3</v>
      </c>
      <c r="H71" s="20" t="n">
        <f aca="false">IF(E73=0,0,IF(E73&lt;5000,1,IF(E73&lt;10000,2,IF(E73&lt;17000,3,IF(E73&lt;30000,4,5)))))</f>
        <v>3</v>
      </c>
      <c r="I71" s="20" t="n">
        <f aca="false">IF(F73=0,0,IF(F73&lt;=1,1,IF(F73&lt;=3,2,IF(F73&lt;=6,3,IF(F73&lt;=12,4,5)))))</f>
        <v>3</v>
      </c>
      <c r="J71" s="21" t="n">
        <f aca="false">ROUND((G73*0.5)+(H73*0.3)+(I73*0.2),1)</f>
        <v>1.2</v>
      </c>
    </row>
    <row r="72" customFormat="false" ht="15" hidden="false" customHeight="true" outlineLevel="0" collapsed="false">
      <c r="A72" s="17" t="s">
        <v>127</v>
      </c>
      <c r="B72" s="17" t="s">
        <v>59</v>
      </c>
      <c r="C72" s="17" t="s">
        <v>131</v>
      </c>
      <c r="D72" s="18" t="n">
        <v>2300</v>
      </c>
      <c r="E72" s="18" t="n">
        <v>2000</v>
      </c>
      <c r="F72" s="19" t="n">
        <v>1</v>
      </c>
      <c r="G72" s="20" t="n">
        <f aca="false">IF(D74=0,0,IF(D74&lt;6000,1,IF(D74&lt;12000,2,IF(D74&lt;20000,3,IF(D74&lt;35000,4,5)))))</f>
        <v>1</v>
      </c>
      <c r="H72" s="20" t="n">
        <f aca="false">IF(E74=0,0,IF(E74&lt;5000,1,IF(E74&lt;10000,2,IF(E74&lt;17000,3,IF(E74&lt;30000,4,5)))))</f>
        <v>1</v>
      </c>
      <c r="I72" s="20" t="n">
        <f aca="false">IF(F74=0,0,IF(F74&lt;=1,1,IF(F74&lt;=3,2,IF(F74&lt;=6,3,IF(F74&lt;=12,4,5)))))</f>
        <v>2</v>
      </c>
      <c r="J72" s="21" t="n">
        <f aca="false">ROUND((G74*0.5)+(H74*0.3)+(I74*0.2),1)</f>
        <v>1</v>
      </c>
    </row>
    <row r="73" customFormat="false" ht="15" hidden="false" customHeight="true" outlineLevel="0" collapsed="false">
      <c r="A73" s="12" t="s">
        <v>132</v>
      </c>
      <c r="B73" s="12" t="s">
        <v>62</v>
      </c>
      <c r="C73" s="12" t="s">
        <v>133</v>
      </c>
      <c r="D73" s="13" t="n">
        <v>14800</v>
      </c>
      <c r="E73" s="13" t="n">
        <v>13100</v>
      </c>
      <c r="F73" s="14" t="n">
        <v>4</v>
      </c>
      <c r="G73" s="15" t="n">
        <f aca="false">IF(D75=0,0,IF(D75&lt;6000,1,IF(D75&lt;12000,2,IF(D75&lt;20000,3,IF(D75&lt;35000,4,5)))))</f>
        <v>1</v>
      </c>
      <c r="H73" s="15" t="n">
        <f aca="false">IF(E75=0,0,IF(E75&lt;5000,1,IF(E75&lt;10000,2,IF(E75&lt;17000,3,IF(E75&lt;30000,4,5)))))</f>
        <v>1</v>
      </c>
      <c r="I73" s="15" t="n">
        <f aca="false">IF(F75=0,0,IF(F75&lt;=1,1,IF(F75&lt;=3,2,IF(F75&lt;=6,3,IF(F75&lt;=12,4,5)))))</f>
        <v>2</v>
      </c>
      <c r="J73" s="16" t="n">
        <f aca="false">ROUND((G75*0.5)+(H75*0.3)+(I75*0.2),1)</f>
        <v>1</v>
      </c>
    </row>
    <row r="74" customFormat="false" ht="15" hidden="false" customHeight="true" outlineLevel="0" collapsed="false">
      <c r="A74" s="17" t="s">
        <v>132</v>
      </c>
      <c r="B74" s="17" t="s">
        <v>62</v>
      </c>
      <c r="C74" s="17" t="s">
        <v>134</v>
      </c>
      <c r="D74" s="18" t="n">
        <v>3800</v>
      </c>
      <c r="E74" s="18" t="n">
        <v>3400</v>
      </c>
      <c r="F74" s="19" t="n">
        <v>2</v>
      </c>
      <c r="G74" s="20" t="n">
        <f aca="false">IF(D76=0,0,IF(D76&lt;6000,1,IF(D76&lt;12000,2,IF(D76&lt;20000,3,IF(D76&lt;35000,4,5)))))</f>
        <v>1</v>
      </c>
      <c r="H74" s="20" t="n">
        <f aca="false">IF(E76=0,0,IF(E76&lt;5000,1,IF(E76&lt;10000,2,IF(E76&lt;17000,3,IF(E76&lt;30000,4,5)))))</f>
        <v>1</v>
      </c>
      <c r="I74" s="20" t="n">
        <f aca="false">IF(F76=0,0,IF(F76&lt;=1,1,IF(F76&lt;=3,2,IF(F76&lt;=6,3,IF(F76&lt;=12,4,5)))))</f>
        <v>1</v>
      </c>
      <c r="J74" s="21" t="n">
        <f aca="false">ROUND((G76*0.5)+(H76*0.3)+(I76*0.2),1)</f>
        <v>2</v>
      </c>
    </row>
    <row r="75" customFormat="false" ht="15" hidden="false" customHeight="true" outlineLevel="0" collapsed="false">
      <c r="A75" s="22" t="s">
        <v>132</v>
      </c>
      <c r="B75" s="22" t="s">
        <v>62</v>
      </c>
      <c r="C75" s="22" t="s">
        <v>135</v>
      </c>
      <c r="D75" s="23" t="n">
        <v>4200</v>
      </c>
      <c r="E75" s="23" t="n">
        <v>3700</v>
      </c>
      <c r="F75" s="24" t="n">
        <v>2</v>
      </c>
      <c r="G75" s="20" t="n">
        <f aca="false">IF(D77=0,0,IF(D77&lt;6000,1,IF(D77&lt;12000,2,IF(D77&lt;20000,3,IF(D77&lt;35000,4,5)))))</f>
        <v>1</v>
      </c>
      <c r="H75" s="20" t="n">
        <f aca="false">IF(E77=0,0,IF(E77&lt;5000,1,IF(E77&lt;10000,2,IF(E77&lt;17000,3,IF(E77&lt;30000,4,5)))))</f>
        <v>1</v>
      </c>
      <c r="I75" s="20" t="n">
        <f aca="false">IF(F77=0,0,IF(F77&lt;=1,1,IF(F77&lt;=3,2,IF(F77&lt;=6,3,IF(F77&lt;=12,4,5)))))</f>
        <v>1</v>
      </c>
      <c r="J75" s="21" t="n">
        <f aca="false">ROUND((G77*0.5)+(H77*0.3)+(I77*0.2),1)</f>
        <v>1.4</v>
      </c>
    </row>
    <row r="76" customFormat="false" ht="15" hidden="false" customHeight="true" outlineLevel="0" collapsed="false">
      <c r="A76" s="17" t="s">
        <v>132</v>
      </c>
      <c r="B76" s="17" t="s">
        <v>62</v>
      </c>
      <c r="C76" s="17" t="s">
        <v>136</v>
      </c>
      <c r="D76" s="18" t="n">
        <v>3600</v>
      </c>
      <c r="E76" s="18" t="n">
        <v>3200</v>
      </c>
      <c r="F76" s="19" t="n">
        <v>1</v>
      </c>
      <c r="G76" s="20" t="n">
        <f aca="false">IF(D78=0,0,IF(D78&lt;6000,1,IF(D78&lt;12000,2,IF(D78&lt;20000,3,IF(D78&lt;35000,4,5)))))</f>
        <v>2</v>
      </c>
      <c r="H76" s="20" t="n">
        <f aca="false">IF(E78=0,0,IF(E78&lt;5000,1,IF(E78&lt;10000,2,IF(E78&lt;17000,3,IF(E78&lt;30000,4,5)))))</f>
        <v>2</v>
      </c>
      <c r="I76" s="20" t="n">
        <f aca="false">IF(F78=0,0,IF(F78&lt;=1,1,IF(F78&lt;=3,2,IF(F78&lt;=6,3,IF(F78&lt;=12,4,5)))))</f>
        <v>2</v>
      </c>
      <c r="J76" s="21" t="n">
        <f aca="false">ROUND((G78*0.5)+(H78*0.3)+(I78*0.2),1)</f>
        <v>1.4</v>
      </c>
    </row>
    <row r="77" customFormat="false" ht="15" hidden="false" customHeight="true" outlineLevel="0" collapsed="false">
      <c r="A77" s="22" t="s">
        <v>132</v>
      </c>
      <c r="B77" s="22" t="s">
        <v>62</v>
      </c>
      <c r="C77" s="22" t="s">
        <v>137</v>
      </c>
      <c r="D77" s="23" t="n">
        <v>3200</v>
      </c>
      <c r="E77" s="23" t="n">
        <v>2800</v>
      </c>
      <c r="F77" s="24" t="n">
        <v>1</v>
      </c>
      <c r="G77" s="20" t="n">
        <f aca="false">IF(D79=0,0,IF(D79&lt;6000,1,IF(D79&lt;12000,2,IF(D79&lt;20000,3,IF(D79&lt;35000,4,5)))))</f>
        <v>1</v>
      </c>
      <c r="H77" s="20" t="n">
        <f aca="false">IF(E79=0,0,IF(E79&lt;5000,1,IF(E79&lt;10000,2,IF(E79&lt;17000,3,IF(E79&lt;30000,4,5)))))</f>
        <v>1</v>
      </c>
      <c r="I77" s="20" t="n">
        <f aca="false">IF(F79=0,0,IF(F79&lt;=1,1,IF(F79&lt;=3,2,IF(F79&lt;=6,3,IF(F79&lt;=12,4,5)))))</f>
        <v>3</v>
      </c>
      <c r="J77" s="21" t="n">
        <f aca="false">ROUND((G79*0.5)+(H79*0.3)+(I79*0.2),1)</f>
        <v>1.2</v>
      </c>
    </row>
    <row r="78" customFormat="false" ht="15" hidden="false" customHeight="true" outlineLevel="0" collapsed="false">
      <c r="A78" s="12" t="s">
        <v>138</v>
      </c>
      <c r="B78" s="12" t="s">
        <v>53</v>
      </c>
      <c r="C78" s="12" t="s">
        <v>139</v>
      </c>
      <c r="D78" s="13" t="n">
        <v>6200</v>
      </c>
      <c r="E78" s="13" t="n">
        <v>5500</v>
      </c>
      <c r="F78" s="14" t="n">
        <v>3</v>
      </c>
      <c r="G78" s="15" t="n">
        <f aca="false">IF(D80=0,0,IF(D80&lt;6000,1,IF(D80&lt;12000,2,IF(D80&lt;20000,3,IF(D80&lt;35000,4,5)))))</f>
        <v>1</v>
      </c>
      <c r="H78" s="15" t="n">
        <f aca="false">IF(E80=0,0,IF(E80&lt;5000,1,IF(E80&lt;10000,2,IF(E80&lt;17000,3,IF(E80&lt;30000,4,5)))))</f>
        <v>1</v>
      </c>
      <c r="I78" s="15" t="n">
        <f aca="false">IF(F80=0,0,IF(F80&lt;=1,1,IF(F80&lt;=3,2,IF(F80&lt;=6,3,IF(F80&lt;=12,4,5)))))</f>
        <v>3</v>
      </c>
      <c r="J78" s="16" t="n">
        <f aca="false">ROUND((G80*0.5)+(H80*0.3)+(I80*0.2),1)</f>
        <v>1.2</v>
      </c>
    </row>
    <row r="79" customFormat="false" ht="15" hidden="false" customHeight="true" outlineLevel="0" collapsed="false">
      <c r="A79" s="17" t="s">
        <v>138</v>
      </c>
      <c r="B79" s="17" t="s">
        <v>53</v>
      </c>
      <c r="C79" s="17" t="s">
        <v>140</v>
      </c>
      <c r="D79" s="18" t="n">
        <v>2800</v>
      </c>
      <c r="E79" s="18" t="n">
        <v>2500</v>
      </c>
      <c r="F79" s="19" t="n">
        <v>4</v>
      </c>
      <c r="G79" s="20" t="n">
        <f aca="false">IF(D81=0,0,IF(D81&lt;6000,1,IF(D81&lt;12000,2,IF(D81&lt;20000,3,IF(D81&lt;35000,4,5)))))</f>
        <v>1</v>
      </c>
      <c r="H79" s="20" t="n">
        <f aca="false">IF(E81=0,0,IF(E81&lt;5000,1,IF(E81&lt;10000,2,IF(E81&lt;17000,3,IF(E81&lt;30000,4,5)))))</f>
        <v>1</v>
      </c>
      <c r="I79" s="20" t="n">
        <f aca="false">IF(F81=0,0,IF(F81&lt;=1,1,IF(F81&lt;=3,2,IF(F81&lt;=6,3,IF(F81&lt;=12,4,5)))))</f>
        <v>2</v>
      </c>
      <c r="J79" s="21" t="n">
        <f aca="false">ROUND((G81*0.5)+(H81*0.3)+(I81*0.2),1)</f>
        <v>1</v>
      </c>
    </row>
    <row r="80" customFormat="false" ht="15" hidden="false" customHeight="true" outlineLevel="0" collapsed="false">
      <c r="A80" s="22" t="s">
        <v>138</v>
      </c>
      <c r="B80" s="22" t="s">
        <v>53</v>
      </c>
      <c r="C80" s="22" t="s">
        <v>141</v>
      </c>
      <c r="D80" s="23" t="n">
        <v>1400</v>
      </c>
      <c r="E80" s="23" t="n">
        <v>1200</v>
      </c>
      <c r="F80" s="24" t="n">
        <v>4</v>
      </c>
      <c r="G80" s="20" t="n">
        <f aca="false">IF(D82=0,0,IF(D82&lt;6000,1,IF(D82&lt;12000,2,IF(D82&lt;20000,3,IF(D82&lt;35000,4,5)))))</f>
        <v>1</v>
      </c>
      <c r="H80" s="20" t="n">
        <f aca="false">IF(E82=0,0,IF(E82&lt;5000,1,IF(E82&lt;10000,2,IF(E82&lt;17000,3,IF(E82&lt;30000,4,5)))))</f>
        <v>1</v>
      </c>
      <c r="I80" s="20" t="n">
        <f aca="false">IF(F82=0,0,IF(F82&lt;=1,1,IF(F82&lt;=3,2,IF(F82&lt;=6,3,IF(F82&lt;=12,4,5)))))</f>
        <v>2</v>
      </c>
      <c r="J80" s="21" t="n">
        <f aca="false">ROUND((G82*0.5)+(H82*0.3)+(I82*0.2),1)</f>
        <v>1</v>
      </c>
    </row>
    <row r="81" customFormat="false" ht="15" hidden="false" customHeight="true" outlineLevel="0" collapsed="false">
      <c r="A81" s="17" t="s">
        <v>138</v>
      </c>
      <c r="B81" s="17" t="s">
        <v>53</v>
      </c>
      <c r="C81" s="17" t="s">
        <v>142</v>
      </c>
      <c r="D81" s="18" t="n">
        <v>2000</v>
      </c>
      <c r="E81" s="18" t="n">
        <v>1800</v>
      </c>
      <c r="F81" s="19" t="n">
        <v>3</v>
      </c>
      <c r="G81" s="20" t="n">
        <f aca="false">IF(D83=0,0,IF(D83&lt;6000,1,IF(D83&lt;12000,2,IF(D83&lt;20000,3,IF(D83&lt;35000,4,5)))))</f>
        <v>1</v>
      </c>
      <c r="H81" s="20" t="n">
        <f aca="false">IF(E83=0,0,IF(E83&lt;5000,1,IF(E83&lt;10000,2,IF(E83&lt;17000,3,IF(E83&lt;30000,4,5)))))</f>
        <v>1</v>
      </c>
      <c r="I81" s="20" t="n">
        <f aca="false">IF(F83=0,0,IF(F83&lt;=1,1,IF(F83&lt;=3,2,IF(F83&lt;=6,3,IF(F83&lt;=12,4,5)))))</f>
        <v>1</v>
      </c>
      <c r="J81" s="21" t="n">
        <f aca="false">ROUND((G83*0.5)+(H83*0.3)+(I83*0.2),1)</f>
        <v>1</v>
      </c>
    </row>
    <row r="82" customFormat="false" ht="15" hidden="false" customHeight="true" outlineLevel="0" collapsed="false">
      <c r="A82" s="12" t="s">
        <v>143</v>
      </c>
      <c r="B82" s="12" t="s">
        <v>144</v>
      </c>
      <c r="C82" s="12" t="s">
        <v>145</v>
      </c>
      <c r="D82" s="13" t="n">
        <v>5400</v>
      </c>
      <c r="E82" s="13" t="n">
        <v>4800</v>
      </c>
      <c r="F82" s="14" t="n">
        <v>3</v>
      </c>
      <c r="G82" s="15" t="n">
        <f aca="false">IF(D84=0,0,IF(D84&lt;6000,1,IF(D84&lt;12000,2,IF(D84&lt;20000,3,IF(D84&lt;35000,4,5)))))</f>
        <v>1</v>
      </c>
      <c r="H82" s="15" t="n">
        <f aca="false">IF(E84=0,0,IF(E84&lt;5000,1,IF(E84&lt;10000,2,IF(E84&lt;17000,3,IF(E84&lt;30000,4,5)))))</f>
        <v>1</v>
      </c>
      <c r="I82" s="15" t="n">
        <f aca="false">IF(F84=0,0,IF(F84&lt;=1,1,IF(F84&lt;=3,2,IF(F84&lt;=6,3,IF(F84&lt;=12,4,5)))))</f>
        <v>1</v>
      </c>
      <c r="J82" s="16" t="n">
        <f aca="false">ROUND((G84*0.5)+(H84*0.3)+(I84*0.2),1)</f>
        <v>1.2</v>
      </c>
    </row>
    <row r="83" customFormat="false" ht="15" hidden="false" customHeight="true" outlineLevel="0" collapsed="false">
      <c r="A83" s="17" t="s">
        <v>143</v>
      </c>
      <c r="B83" s="17" t="s">
        <v>144</v>
      </c>
      <c r="C83" s="17" t="s">
        <v>146</v>
      </c>
      <c r="D83" s="18" t="n">
        <v>2400</v>
      </c>
      <c r="E83" s="18" t="n">
        <v>2100</v>
      </c>
      <c r="F83" s="19" t="n">
        <v>1</v>
      </c>
      <c r="G83" s="20" t="n">
        <f aca="false">IF(D85=0,0,IF(D85&lt;6000,1,IF(D85&lt;12000,2,IF(D85&lt;20000,3,IF(D85&lt;35000,4,5)))))</f>
        <v>1</v>
      </c>
      <c r="H83" s="20" t="n">
        <f aca="false">IF(E85=0,0,IF(E85&lt;5000,1,IF(E85&lt;10000,2,IF(E85&lt;17000,3,IF(E85&lt;30000,4,5)))))</f>
        <v>1</v>
      </c>
      <c r="I83" s="20" t="n">
        <f aca="false">IF(F85=0,0,IF(F85&lt;=1,1,IF(F85&lt;=3,2,IF(F85&lt;=6,3,IF(F85&lt;=12,4,5)))))</f>
        <v>1</v>
      </c>
      <c r="J83" s="21" t="n">
        <f aca="false">ROUND((G85*0.5)+(H85*0.3)+(I85*0.2),1)</f>
        <v>1</v>
      </c>
    </row>
    <row r="84" customFormat="false" ht="15" hidden="false" customHeight="true" outlineLevel="0" collapsed="false">
      <c r="A84" s="22" t="s">
        <v>143</v>
      </c>
      <c r="B84" s="22" t="s">
        <v>144</v>
      </c>
      <c r="C84" s="22" t="s">
        <v>147</v>
      </c>
      <c r="D84" s="23" t="n">
        <v>1800</v>
      </c>
      <c r="E84" s="23" t="n">
        <v>1600</v>
      </c>
      <c r="F84" s="24" t="n">
        <v>1</v>
      </c>
      <c r="G84" s="20" t="n">
        <f aca="false">IF(D86=0,0,IF(D86&lt;6000,1,IF(D86&lt;12000,2,IF(D86&lt;20000,3,IF(D86&lt;35000,4,5)))))</f>
        <v>1</v>
      </c>
      <c r="H84" s="20" t="n">
        <f aca="false">IF(E86=0,0,IF(E86&lt;5000,1,IF(E86&lt;10000,2,IF(E86&lt;17000,3,IF(E86&lt;30000,4,5)))))</f>
        <v>1</v>
      </c>
      <c r="I84" s="20" t="n">
        <f aca="false">IF(F86=0,0,IF(F86&lt;=1,1,IF(F86&lt;=3,2,IF(F86&lt;=6,3,IF(F86&lt;=12,4,5)))))</f>
        <v>2</v>
      </c>
      <c r="J84" s="21" t="n">
        <f aca="false">ROUND((G86*0.5)+(H86*0.3)+(I86*0.2),1)</f>
        <v>1</v>
      </c>
    </row>
    <row r="85" customFormat="false" ht="15" hidden="false" customHeight="true" outlineLevel="0" collapsed="false">
      <c r="A85" s="17" t="s">
        <v>143</v>
      </c>
      <c r="B85" s="17" t="s">
        <v>144</v>
      </c>
      <c r="C85" s="17" t="s">
        <v>148</v>
      </c>
      <c r="D85" s="18" t="n">
        <v>1200</v>
      </c>
      <c r="E85" s="18" t="n">
        <v>1100</v>
      </c>
      <c r="F85" s="19" t="n">
        <v>1</v>
      </c>
      <c r="G85" s="20" t="n">
        <f aca="false">IF(D87=0,0,IF(D87&lt;6000,1,IF(D87&lt;12000,2,IF(D87&lt;20000,3,IF(D87&lt;35000,4,5)))))</f>
        <v>1</v>
      </c>
      <c r="H85" s="20" t="n">
        <f aca="false">IF(E87=0,0,IF(E87&lt;5000,1,IF(E87&lt;10000,2,IF(E87&lt;17000,3,IF(E87&lt;30000,4,5)))))</f>
        <v>1</v>
      </c>
      <c r="I85" s="20" t="n">
        <f aca="false">IF(F87=0,0,IF(F87&lt;=1,1,IF(F87&lt;=3,2,IF(F87&lt;=6,3,IF(F87&lt;=12,4,5)))))</f>
        <v>1</v>
      </c>
      <c r="J85" s="21" t="n">
        <f aca="false">ROUND((G87*0.5)+(H87*0.3)+(I87*0.2),1)</f>
        <v>2.2</v>
      </c>
    </row>
    <row r="86" customFormat="false" ht="15" hidden="false" customHeight="true" outlineLevel="0" collapsed="false">
      <c r="A86" s="12" t="s">
        <v>149</v>
      </c>
      <c r="B86" s="12" t="s">
        <v>62</v>
      </c>
      <c r="C86" s="12" t="s">
        <v>150</v>
      </c>
      <c r="D86" s="13" t="n">
        <v>2100</v>
      </c>
      <c r="E86" s="13" t="n">
        <v>1900</v>
      </c>
      <c r="F86" s="14" t="n">
        <v>2</v>
      </c>
      <c r="G86" s="15" t="n">
        <f aca="false">IF(D88=0,0,IF(D88&lt;6000,1,IF(D88&lt;12000,2,IF(D88&lt;20000,3,IF(D88&lt;35000,4,5)))))</f>
        <v>1</v>
      </c>
      <c r="H86" s="15" t="n">
        <f aca="false">IF(E88=0,0,IF(E88&lt;5000,1,IF(E88&lt;10000,2,IF(E88&lt;17000,3,IF(E88&lt;30000,4,5)))))</f>
        <v>1</v>
      </c>
      <c r="I86" s="15" t="n">
        <f aca="false">IF(F88=0,0,IF(F88&lt;=1,1,IF(F88&lt;=3,2,IF(F88&lt;=6,3,IF(F88&lt;=12,4,5)))))</f>
        <v>1</v>
      </c>
      <c r="J86" s="16" t="n">
        <f aca="false">ROUND((G88*0.5)+(H88*0.3)+(I88*0.2),1)</f>
        <v>1.4</v>
      </c>
    </row>
    <row r="87" customFormat="false" ht="15" hidden="false" customHeight="true" outlineLevel="0" collapsed="false">
      <c r="A87" s="17" t="s">
        <v>149</v>
      </c>
      <c r="B87" s="17" t="s">
        <v>62</v>
      </c>
      <c r="C87" s="17" t="s">
        <v>151</v>
      </c>
      <c r="D87" s="18" t="n">
        <v>1300</v>
      </c>
      <c r="E87" s="18" t="n">
        <v>1200</v>
      </c>
      <c r="F87" s="19" t="n">
        <v>1</v>
      </c>
      <c r="G87" s="20" t="n">
        <f aca="false">IF(D89=0,0,IF(D89&lt;6000,1,IF(D89&lt;12000,2,IF(D89&lt;20000,3,IF(D89&lt;35000,4,5)))))</f>
        <v>2</v>
      </c>
      <c r="H87" s="20" t="n">
        <f aca="false">IF(E89=0,0,IF(E89&lt;5000,1,IF(E89&lt;10000,2,IF(E89&lt;17000,3,IF(E89&lt;30000,4,5)))))</f>
        <v>2</v>
      </c>
      <c r="I87" s="20" t="n">
        <f aca="false">IF(F89=0,0,IF(F89&lt;=1,1,IF(F89&lt;=3,2,IF(F89&lt;=6,3,IF(F89&lt;=12,4,5)))))</f>
        <v>3</v>
      </c>
      <c r="J87" s="21" t="n">
        <f aca="false">ROUND((G89*0.5)+(H89*0.3)+(I89*0.2),1)</f>
        <v>1.4</v>
      </c>
    </row>
    <row r="88" customFormat="false" ht="15" hidden="false" customHeight="true" outlineLevel="0" collapsed="false">
      <c r="A88" s="22" t="s">
        <v>149</v>
      </c>
      <c r="B88" s="22" t="s">
        <v>62</v>
      </c>
      <c r="C88" s="22" t="s">
        <v>152</v>
      </c>
      <c r="D88" s="23" t="n">
        <v>800</v>
      </c>
      <c r="E88" s="23" t="n">
        <v>700</v>
      </c>
      <c r="F88" s="24" t="n">
        <v>1</v>
      </c>
      <c r="G88" s="20" t="n">
        <f aca="false">IF(D90=0,0,IF(D90&lt;6000,1,IF(D90&lt;12000,2,IF(D90&lt;20000,3,IF(D90&lt;35000,4,5)))))</f>
        <v>1</v>
      </c>
      <c r="H88" s="20" t="n">
        <f aca="false">IF(E90=0,0,IF(E90&lt;5000,1,IF(E90&lt;10000,2,IF(E90&lt;17000,3,IF(E90&lt;30000,4,5)))))</f>
        <v>1</v>
      </c>
      <c r="I88" s="20" t="n">
        <f aca="false">IF(F90=0,0,IF(F90&lt;=1,1,IF(F90&lt;=3,2,IF(F90&lt;=6,3,IF(F90&lt;=12,4,5)))))</f>
        <v>3</v>
      </c>
      <c r="J88" s="21" t="n">
        <f aca="false">ROUND((G90*0.5)+(H90*0.3)+(I90*0.2),1)</f>
        <v>1.2</v>
      </c>
    </row>
    <row r="89" customFormat="false" ht="15" hidden="false" customHeight="true" outlineLevel="0" collapsed="false">
      <c r="A89" s="12" t="s">
        <v>153</v>
      </c>
      <c r="B89" s="12" t="s">
        <v>144</v>
      </c>
      <c r="C89" s="12" t="s">
        <v>154</v>
      </c>
      <c r="D89" s="13" t="n">
        <v>8900</v>
      </c>
      <c r="E89" s="13" t="n">
        <v>7800</v>
      </c>
      <c r="F89" s="14" t="n">
        <v>4</v>
      </c>
      <c r="G89" s="15" t="n">
        <f aca="false">IF(D91=0,0,IF(D91&lt;6000,1,IF(D91&lt;12000,2,IF(D91&lt;20000,3,IF(D91&lt;35000,4,5)))))</f>
        <v>1</v>
      </c>
      <c r="H89" s="15" t="n">
        <f aca="false">IF(E91=0,0,IF(E91&lt;5000,1,IF(E91&lt;10000,2,IF(E91&lt;17000,3,IF(E91&lt;30000,4,5)))))</f>
        <v>1</v>
      </c>
      <c r="I89" s="15" t="n">
        <f aca="false">IF(F91=0,0,IF(F91&lt;=1,1,IF(F91&lt;=3,2,IF(F91&lt;=6,3,IF(F91&lt;=12,4,5)))))</f>
        <v>3</v>
      </c>
      <c r="J89" s="16" t="n">
        <f aca="false">ROUND((G91*0.5)+(H91*0.3)+(I91*0.2),1)</f>
        <v>1.2</v>
      </c>
    </row>
    <row r="90" customFormat="false" ht="15" hidden="false" customHeight="true" outlineLevel="0" collapsed="false">
      <c r="A90" s="17" t="s">
        <v>153</v>
      </c>
      <c r="B90" s="17" t="s">
        <v>144</v>
      </c>
      <c r="C90" s="17" t="s">
        <v>155</v>
      </c>
      <c r="D90" s="18" t="n">
        <v>2800</v>
      </c>
      <c r="E90" s="18" t="n">
        <v>2400</v>
      </c>
      <c r="F90" s="19" t="n">
        <v>4</v>
      </c>
      <c r="G90" s="20" t="n">
        <f aca="false">IF(D92=0,0,IF(D92&lt;6000,1,IF(D92&lt;12000,2,IF(D92&lt;20000,3,IF(D92&lt;35000,4,5)))))</f>
        <v>1</v>
      </c>
      <c r="H90" s="20" t="n">
        <f aca="false">IF(E92=0,0,IF(E92&lt;5000,1,IF(E92&lt;10000,2,IF(E92&lt;17000,3,IF(E92&lt;30000,4,5)))))</f>
        <v>1</v>
      </c>
      <c r="I90" s="20" t="n">
        <f aca="false">IF(F92=0,0,IF(F92&lt;=1,1,IF(F92&lt;=3,2,IF(F92&lt;=6,3,IF(F92&lt;=12,4,5)))))</f>
        <v>2</v>
      </c>
      <c r="J90" s="21" t="n">
        <f aca="false">ROUND((G92*0.5)+(H92*0.3)+(I92*0.2),1)</f>
        <v>1.2</v>
      </c>
    </row>
    <row r="91" customFormat="false" ht="15" hidden="false" customHeight="true" outlineLevel="0" collapsed="false">
      <c r="A91" s="22" t="s">
        <v>153</v>
      </c>
      <c r="B91" s="22" t="s">
        <v>144</v>
      </c>
      <c r="C91" s="22" t="s">
        <v>156</v>
      </c>
      <c r="D91" s="23" t="n">
        <v>2500</v>
      </c>
      <c r="E91" s="23" t="n">
        <v>2200</v>
      </c>
      <c r="F91" s="24" t="n">
        <v>4</v>
      </c>
      <c r="G91" s="20" t="n">
        <f aca="false">IF(D93=0,0,IF(D93&lt;6000,1,IF(D93&lt;12000,2,IF(D93&lt;20000,3,IF(D93&lt;35000,4,5)))))</f>
        <v>1</v>
      </c>
      <c r="H91" s="20" t="n">
        <f aca="false">IF(E93=0,0,IF(E93&lt;5000,1,IF(E93&lt;10000,2,IF(E93&lt;17000,3,IF(E93&lt;30000,4,5)))))</f>
        <v>1</v>
      </c>
      <c r="I91" s="20" t="n">
        <f aca="false">IF(F93=0,0,IF(F93&lt;=1,1,IF(F93&lt;=3,2,IF(F93&lt;=6,3,IF(F93&lt;=12,4,5)))))</f>
        <v>2</v>
      </c>
      <c r="J91" s="21" t="n">
        <f aca="false">ROUND((G93*0.5)+(H93*0.3)+(I93*0.2),1)</f>
        <v>1.2</v>
      </c>
    </row>
    <row r="92" customFormat="false" ht="15" hidden="false" customHeight="true" outlineLevel="0" collapsed="false">
      <c r="A92" s="17" t="s">
        <v>153</v>
      </c>
      <c r="B92" s="17" t="s">
        <v>144</v>
      </c>
      <c r="C92" s="17" t="s">
        <v>157</v>
      </c>
      <c r="D92" s="18" t="n">
        <v>2100</v>
      </c>
      <c r="E92" s="18" t="n">
        <v>1800</v>
      </c>
      <c r="F92" s="19" t="n">
        <v>3</v>
      </c>
      <c r="G92" s="20" t="n">
        <f aca="false">IF(D94=0,0,IF(D94&lt;6000,1,IF(D94&lt;12000,2,IF(D94&lt;20000,3,IF(D94&lt;35000,4,5)))))</f>
        <v>1</v>
      </c>
      <c r="H92" s="20" t="n">
        <f aca="false">IF(E94=0,0,IF(E94&lt;5000,1,IF(E94&lt;10000,2,IF(E94&lt;17000,3,IF(E94&lt;30000,4,5)))))</f>
        <v>1</v>
      </c>
      <c r="I92" s="20" t="n">
        <f aca="false">IF(F94=0,0,IF(F94&lt;=1,1,IF(F94&lt;=3,2,IF(F94&lt;=6,3,IF(F94&lt;=12,4,5)))))</f>
        <v>2</v>
      </c>
      <c r="J92" s="21" t="n">
        <f aca="false">ROUND((G94*0.5)+(H94*0.3)+(I94*0.2),1)</f>
        <v>1.2</v>
      </c>
    </row>
    <row r="93" customFormat="false" ht="15" hidden="false" customHeight="true" outlineLevel="0" collapsed="false">
      <c r="A93" s="22" t="s">
        <v>153</v>
      </c>
      <c r="B93" s="22" t="s">
        <v>144</v>
      </c>
      <c r="C93" s="22" t="s">
        <v>158</v>
      </c>
      <c r="D93" s="23" t="n">
        <v>1500</v>
      </c>
      <c r="E93" s="23" t="n">
        <v>1400</v>
      </c>
      <c r="F93" s="24" t="n">
        <v>3</v>
      </c>
      <c r="G93" s="20" t="n">
        <f aca="false">IF(D95=0,0,IF(D95&lt;6000,1,IF(D95&lt;12000,2,IF(D95&lt;20000,3,IF(D95&lt;35000,4,5)))))</f>
        <v>1</v>
      </c>
      <c r="H93" s="20" t="n">
        <f aca="false">IF(E95=0,0,IF(E95&lt;5000,1,IF(E95&lt;10000,2,IF(E95&lt;17000,3,IF(E95&lt;30000,4,5)))))</f>
        <v>1</v>
      </c>
      <c r="I93" s="20" t="n">
        <f aca="false">IF(F95=0,0,IF(F95&lt;=1,1,IF(F95&lt;=3,2,IF(F95&lt;=6,3,IF(F95&lt;=12,4,5)))))</f>
        <v>2</v>
      </c>
      <c r="J93" s="21" t="n">
        <f aca="false">ROUND((G95*0.5)+(H95*0.3)+(I95*0.2),1)</f>
        <v>1.2</v>
      </c>
    </row>
    <row r="94" customFormat="false" ht="15" hidden="false" customHeight="true" outlineLevel="0" collapsed="false">
      <c r="A94" s="12" t="s">
        <v>159</v>
      </c>
      <c r="B94" s="12" t="s">
        <v>160</v>
      </c>
      <c r="C94" s="12" t="s">
        <v>161</v>
      </c>
      <c r="D94" s="13" t="n">
        <v>3400</v>
      </c>
      <c r="E94" s="13" t="n">
        <v>3000</v>
      </c>
      <c r="F94" s="14" t="n">
        <v>3</v>
      </c>
      <c r="G94" s="15" t="n">
        <f aca="false">IF(D96=0,0,IF(D96&lt;6000,1,IF(D96&lt;12000,2,IF(D96&lt;20000,3,IF(D96&lt;35000,4,5)))))</f>
        <v>1</v>
      </c>
      <c r="H94" s="15" t="n">
        <f aca="false">IF(E96=0,0,IF(E96&lt;5000,1,IF(E96&lt;10000,2,IF(E96&lt;17000,3,IF(E96&lt;30000,4,5)))))</f>
        <v>1</v>
      </c>
      <c r="I94" s="15" t="n">
        <f aca="false">IF(F96=0,0,IF(F96&lt;=1,1,IF(F96&lt;=3,2,IF(F96&lt;=6,3,IF(F96&lt;=12,4,5)))))</f>
        <v>2</v>
      </c>
      <c r="J94" s="16" t="n">
        <f aca="false">ROUND((G96*0.5)+(H96*0.3)+(I96*0.2),1)</f>
        <v>0</v>
      </c>
    </row>
    <row r="95" customFormat="false" ht="15" hidden="false" customHeight="true" outlineLevel="0" collapsed="false">
      <c r="A95" s="17" t="s">
        <v>159</v>
      </c>
      <c r="B95" s="17" t="s">
        <v>160</v>
      </c>
      <c r="C95" s="17" t="s">
        <v>162</v>
      </c>
      <c r="D95" s="18" t="n">
        <v>1400</v>
      </c>
      <c r="E95" s="18" t="n">
        <v>1200</v>
      </c>
      <c r="F95" s="19" t="n">
        <v>2</v>
      </c>
      <c r="G95" s="20" t="n">
        <f aca="false">IF(D97=0,0,IF(D97&lt;6000,1,IF(D97&lt;12000,2,IF(D97&lt;20000,3,IF(D97&lt;35000,4,5)))))</f>
        <v>1</v>
      </c>
      <c r="H95" s="20" t="n">
        <f aca="false">IF(E97=0,0,IF(E97&lt;5000,1,IF(E97&lt;10000,2,IF(E97&lt;17000,3,IF(E97&lt;30000,4,5)))))</f>
        <v>1</v>
      </c>
      <c r="I95" s="20" t="n">
        <f aca="false">IF(F97=0,0,IF(F97&lt;=1,1,IF(F97&lt;=3,2,IF(F97&lt;=6,3,IF(F97&lt;=12,4,5)))))</f>
        <v>2</v>
      </c>
      <c r="J95" s="21" t="n">
        <f aca="false">ROUND((G97*0.5)+(H97*0.3)+(I97*0.2),1)</f>
        <v>0</v>
      </c>
    </row>
    <row r="96" customFormat="false" ht="15" hidden="false" customHeight="true" outlineLevel="0" collapsed="false">
      <c r="A96" s="22" t="s">
        <v>159</v>
      </c>
      <c r="B96" s="22" t="s">
        <v>160</v>
      </c>
      <c r="C96" s="22" t="s">
        <v>163</v>
      </c>
      <c r="D96" s="23" t="n">
        <v>1200</v>
      </c>
      <c r="E96" s="23" t="n">
        <v>1100</v>
      </c>
      <c r="F96" s="24" t="n">
        <v>2</v>
      </c>
      <c r="G96" s="20" t="n">
        <f aca="false">IF(D98=0,0,IF(D98&lt;6000,1,IF(D98&lt;12000,2,IF(D98&lt;20000,3,IF(D98&lt;35000,4,5)))))</f>
        <v>0</v>
      </c>
      <c r="H96" s="20" t="n">
        <f aca="false">IF(E98=0,0,IF(E98&lt;5000,1,IF(E98&lt;10000,2,IF(E98&lt;17000,3,IF(E98&lt;30000,4,5)))))</f>
        <v>0</v>
      </c>
      <c r="I96" s="20" t="n">
        <f aca="false">IF(F98=0,0,IF(F98&lt;=1,1,IF(F98&lt;=3,2,IF(F98&lt;=6,3,IF(F98&lt;=12,4,5)))))</f>
        <v>0</v>
      </c>
      <c r="J96" s="21" t="n">
        <f aca="false">ROUND((G98*0.5)+(H98*0.3)+(I98*0.2),1)</f>
        <v>0</v>
      </c>
    </row>
    <row r="97" customFormat="false" ht="15" hidden="false" customHeight="true" outlineLevel="0" collapsed="false">
      <c r="A97" s="17" t="s">
        <v>159</v>
      </c>
      <c r="B97" s="17" t="s">
        <v>160</v>
      </c>
      <c r="C97" s="17" t="s">
        <v>164</v>
      </c>
      <c r="D97" s="18" t="n">
        <v>800</v>
      </c>
      <c r="E97" s="18" t="n">
        <v>700</v>
      </c>
      <c r="F97" s="19" t="n">
        <v>2</v>
      </c>
      <c r="G97" s="20" t="n">
        <f aca="false">IF(D99=0,0,IF(D99&lt;6000,1,IF(D99&lt;12000,2,IF(D99&lt;20000,3,IF(D99&lt;35000,4,5)))))</f>
        <v>0</v>
      </c>
      <c r="H97" s="20" t="n">
        <f aca="false">IF(E99=0,0,IF(E99&lt;5000,1,IF(E99&lt;10000,2,IF(E99&lt;17000,3,IF(E99&lt;30000,4,5)))))</f>
        <v>0</v>
      </c>
      <c r="I97" s="20" t="n">
        <f aca="false">IF(F99=0,0,IF(F99&lt;=1,1,IF(F99&lt;=3,2,IF(F99&lt;=6,3,IF(F99&lt;=12,4,5)))))</f>
        <v>0</v>
      </c>
      <c r="J97" s="21" t="n">
        <f aca="false">ROUND((G99*0.5)+(H99*0.3)+(I99*0.2),1)</f>
        <v>0</v>
      </c>
    </row>
    <row r="98" customFormat="false" ht="15" hidden="false" customHeight="true" outlineLevel="0" collapsed="false"/>
    <row r="9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7"/>
    <col collapsed="false" customWidth="true" hidden="false" outlineLevel="0" max="14" min="14" style="1" width="12"/>
  </cols>
  <sheetData>
    <row r="1" customFormat="false" ht="39.75" hidden="false" customHeight="true" outlineLevel="0" collapsed="false">
      <c r="A1" s="2" t="s">
        <v>165</v>
      </c>
      <c r="B1" s="2" t="s">
        <v>166</v>
      </c>
      <c r="C1" s="25" t="s">
        <v>167</v>
      </c>
      <c r="D1" s="25" t="s">
        <v>168</v>
      </c>
      <c r="E1" s="25" t="s">
        <v>169</v>
      </c>
      <c r="F1" s="26" t="s">
        <v>170</v>
      </c>
      <c r="G1" s="26" t="s">
        <v>171</v>
      </c>
      <c r="H1" s="27" t="s">
        <v>172</v>
      </c>
      <c r="I1" s="27" t="s">
        <v>173</v>
      </c>
      <c r="J1" s="27" t="s">
        <v>174</v>
      </c>
      <c r="K1" s="25" t="s">
        <v>175</v>
      </c>
      <c r="L1" s="26" t="s">
        <v>176</v>
      </c>
      <c r="M1" s="27" t="s">
        <v>177</v>
      </c>
      <c r="N1" s="2" t="s">
        <v>178</v>
      </c>
    </row>
    <row r="2" customFormat="false" ht="15" hidden="false" customHeight="true" outlineLevel="0" collapsed="false">
      <c r="A2" s="28" t="s">
        <v>179</v>
      </c>
      <c r="B2" s="29" t="n">
        <v>1</v>
      </c>
      <c r="C2" s="29" t="n">
        <v>4</v>
      </c>
      <c r="D2" s="29" t="n">
        <v>5</v>
      </c>
      <c r="E2" s="29" t="n">
        <v>5</v>
      </c>
      <c r="F2" s="29" t="n">
        <v>1</v>
      </c>
      <c r="G2" s="29" t="n">
        <v>5</v>
      </c>
      <c r="H2" s="29" t="n">
        <v>5</v>
      </c>
      <c r="I2" s="29" t="n">
        <v>5</v>
      </c>
      <c r="J2" s="29" t="n">
        <v>3</v>
      </c>
      <c r="K2" s="30" t="n">
        <f aca="false">ROUND((C2*0.375)+(D2*0.5)+(E2*0.125),0)</f>
        <v>5</v>
      </c>
      <c r="L2" s="31" t="n">
        <f aca="false">ROUND((F2*0.667)+(G2*0.333),0)</f>
        <v>2</v>
      </c>
      <c r="M2" s="32" t="n">
        <f aca="false">ROUND((H2*0.222)+(I2*0.556)+(J2*0.222),0)</f>
        <v>5</v>
      </c>
      <c r="N2" s="33" t="n">
        <f aca="false">ROUND((C2*0.15)+(D2*0.2)+(E2*0.05)+(F2*0.1667)+(G2*0.0833)+(H2*0.0778)+(I2*0.1944)+(J2*0.0778),2)</f>
        <v>4.03</v>
      </c>
    </row>
    <row r="3" customFormat="false" ht="15" hidden="false" customHeight="true" outlineLevel="0" collapsed="false">
      <c r="A3" s="34" t="s">
        <v>180</v>
      </c>
      <c r="B3" s="35" t="n">
        <v>1</v>
      </c>
      <c r="C3" s="35" t="n">
        <v>3</v>
      </c>
      <c r="D3" s="35" t="n">
        <v>4</v>
      </c>
      <c r="E3" s="35" t="n">
        <v>5</v>
      </c>
      <c r="F3" s="35" t="n">
        <v>3</v>
      </c>
      <c r="G3" s="35" t="n">
        <v>4</v>
      </c>
      <c r="H3" s="35" t="n">
        <v>4</v>
      </c>
      <c r="I3" s="35" t="n">
        <v>5</v>
      </c>
      <c r="J3" s="35" t="n">
        <v>3</v>
      </c>
      <c r="K3" s="30" t="n">
        <f aca="false">ROUND((C3*0.375)+(D3*0.5)+(E3*0.125),0)</f>
        <v>4</v>
      </c>
      <c r="L3" s="31" t="n">
        <f aca="false">ROUND((F3*0.667)+(G3*0.333),0)</f>
        <v>3</v>
      </c>
      <c r="M3" s="32" t="n">
        <f aca="false">ROUND((H3*0.222)+(I3*0.556)+(J3*0.222),0)</f>
        <v>4</v>
      </c>
      <c r="N3" s="33" t="n">
        <f aca="false">ROUND((C3*0.15)+(D3*0.2)+(E3*0.05)+(F3*0.1667)+(G3*0.0833)+(H3*0.0778)+(I3*0.1944)+(J3*0.0778),2)</f>
        <v>3.85</v>
      </c>
    </row>
    <row r="4" customFormat="false" ht="15" hidden="false" customHeight="true" outlineLevel="0" collapsed="false">
      <c r="A4" s="28" t="s">
        <v>181</v>
      </c>
      <c r="B4" s="29" t="n">
        <v>5</v>
      </c>
      <c r="C4" s="29" t="n">
        <v>2</v>
      </c>
      <c r="D4" s="29" t="n">
        <v>5</v>
      </c>
      <c r="E4" s="29" t="n">
        <v>2</v>
      </c>
      <c r="F4" s="29" t="n">
        <v>3</v>
      </c>
      <c r="G4" s="29" t="n">
        <v>4</v>
      </c>
      <c r="H4" s="29" t="n">
        <v>4</v>
      </c>
      <c r="I4" s="29" t="n">
        <v>3</v>
      </c>
      <c r="J4" s="29" t="n">
        <v>4</v>
      </c>
      <c r="K4" s="30" t="n">
        <f aca="false">ROUND((C4*0.375)+(D4*0.5)+(E4*0.125),0)</f>
        <v>4</v>
      </c>
      <c r="L4" s="31" t="n">
        <f aca="false">ROUND((F4*0.667)+(G4*0.333),0)</f>
        <v>3</v>
      </c>
      <c r="M4" s="32" t="n">
        <f aca="false">ROUND((H4*0.222)+(I4*0.556)+(J4*0.222),0)</f>
        <v>3</v>
      </c>
      <c r="N4" s="33" t="n">
        <f aca="false">ROUND((C4*0.15)+(D4*0.2)+(E4*0.05)+(F4*0.1667)+(G4*0.0833)+(H4*0.0778)+(I4*0.1944)+(J4*0.0778),2)</f>
        <v>3.44</v>
      </c>
    </row>
    <row r="5" customFormat="false" ht="15" hidden="false" customHeight="true" outlineLevel="0" collapsed="false">
      <c r="A5" s="34" t="s">
        <v>182</v>
      </c>
      <c r="B5" s="35" t="n">
        <v>5</v>
      </c>
      <c r="C5" s="35" t="n">
        <v>1</v>
      </c>
      <c r="D5" s="35" t="n">
        <v>5</v>
      </c>
      <c r="E5" s="35" t="n">
        <v>4</v>
      </c>
      <c r="F5" s="35" t="n">
        <v>4</v>
      </c>
      <c r="G5" s="35" t="n">
        <v>4</v>
      </c>
      <c r="H5" s="35" t="n">
        <v>3</v>
      </c>
      <c r="I5" s="35" t="n">
        <v>4</v>
      </c>
      <c r="J5" s="35" t="n">
        <v>3</v>
      </c>
      <c r="K5" s="30" t="n">
        <f aca="false">ROUND((C5*0.375)+(D5*0.5)+(E5*0.125),0)</f>
        <v>3</v>
      </c>
      <c r="L5" s="31" t="n">
        <f aca="false">ROUND((F5*0.667)+(G5*0.333),0)</f>
        <v>4</v>
      </c>
      <c r="M5" s="32" t="n">
        <f aca="false">ROUND((H5*0.222)+(I5*0.556)+(J5*0.222),0)</f>
        <v>4</v>
      </c>
      <c r="N5" s="33" t="n">
        <f aca="false">ROUND((C5*0.15)+(D5*0.2)+(E5*0.05)+(F5*0.1667)+(G5*0.0833)+(H5*0.0778)+(I5*0.1944)+(J5*0.0778),2)</f>
        <v>3.59</v>
      </c>
    </row>
    <row r="6" customFormat="false" ht="15" hidden="false" customHeight="true" outlineLevel="0" collapsed="false">
      <c r="A6" s="28" t="s">
        <v>183</v>
      </c>
      <c r="B6" s="29" t="n">
        <v>1</v>
      </c>
      <c r="C6" s="29" t="n">
        <v>3</v>
      </c>
      <c r="D6" s="29" t="n">
        <v>3</v>
      </c>
      <c r="E6" s="29" t="n">
        <v>3</v>
      </c>
      <c r="F6" s="29" t="n">
        <v>4</v>
      </c>
      <c r="G6" s="29" t="n">
        <v>4</v>
      </c>
      <c r="H6" s="29" t="n">
        <v>3</v>
      </c>
      <c r="I6" s="29" t="n">
        <v>4</v>
      </c>
      <c r="J6" s="29" t="n">
        <v>2</v>
      </c>
      <c r="K6" s="30" t="n">
        <f aca="false">ROUND((C6*0.375)+(D6*0.5)+(E6*0.125),0)</f>
        <v>3</v>
      </c>
      <c r="L6" s="31" t="n">
        <f aca="false">ROUND((F6*0.667)+(G6*0.333),0)</f>
        <v>4</v>
      </c>
      <c r="M6" s="32" t="n">
        <f aca="false">ROUND((H6*0.222)+(I6*0.556)+(J6*0.222),0)</f>
        <v>3</v>
      </c>
      <c r="N6" s="33" t="n">
        <f aca="false">ROUND((C6*0.15)+(D6*0.2)+(E6*0.05)+(F6*0.1667)+(G6*0.0833)+(H6*0.0778)+(I6*0.1944)+(J6*0.0778),2)</f>
        <v>3.37</v>
      </c>
    </row>
    <row r="7" customFormat="false" ht="15" hidden="false" customHeight="true" outlineLevel="0" collapsed="false">
      <c r="A7" s="34" t="s">
        <v>184</v>
      </c>
      <c r="B7" s="35" t="n">
        <v>2</v>
      </c>
      <c r="C7" s="35" t="n">
        <v>1</v>
      </c>
      <c r="D7" s="35" t="n">
        <v>5</v>
      </c>
      <c r="E7" s="35" t="n">
        <v>4</v>
      </c>
      <c r="F7" s="35" t="n">
        <v>4</v>
      </c>
      <c r="G7" s="35" t="n">
        <v>4</v>
      </c>
      <c r="H7" s="35" t="n">
        <v>4</v>
      </c>
      <c r="I7" s="35" t="n">
        <v>3</v>
      </c>
      <c r="J7" s="35" t="n">
        <v>2</v>
      </c>
      <c r="K7" s="30" t="n">
        <f aca="false">ROUND((C7*0.375)+(D7*0.5)+(E7*0.125),0)</f>
        <v>3</v>
      </c>
      <c r="L7" s="31" t="n">
        <f aca="false">ROUND((F7*0.667)+(G7*0.333),0)</f>
        <v>4</v>
      </c>
      <c r="M7" s="32" t="n">
        <f aca="false">ROUND((H7*0.222)+(I7*0.556)+(J7*0.222),0)</f>
        <v>3</v>
      </c>
      <c r="N7" s="33" t="n">
        <f aca="false">ROUND((C7*0.15)+(D7*0.2)+(E7*0.05)+(F7*0.1667)+(G7*0.0833)+(H7*0.0778)+(I7*0.1944)+(J7*0.0778),2)</f>
        <v>3.4</v>
      </c>
    </row>
    <row r="8" customFormat="false" ht="15" hidden="false" customHeight="true" outlineLevel="0" collapsed="false">
      <c r="A8" s="28" t="s">
        <v>185</v>
      </c>
      <c r="B8" s="29" t="n">
        <v>6</v>
      </c>
      <c r="C8" s="29" t="n">
        <v>2</v>
      </c>
      <c r="D8" s="29" t="n">
        <v>5</v>
      </c>
      <c r="E8" s="29" t="n">
        <v>3</v>
      </c>
      <c r="F8" s="29" t="n">
        <v>4</v>
      </c>
      <c r="G8" s="29" t="n">
        <v>4</v>
      </c>
      <c r="H8" s="29" t="n">
        <v>3</v>
      </c>
      <c r="I8" s="29" t="n">
        <v>3</v>
      </c>
      <c r="J8" s="29" t="n">
        <v>3</v>
      </c>
      <c r="K8" s="30" t="n">
        <f aca="false">ROUND((C8*0.375)+(D8*0.5)+(E8*0.125),0)</f>
        <v>4</v>
      </c>
      <c r="L8" s="31" t="n">
        <f aca="false">ROUND((F8*0.667)+(G8*0.333),0)</f>
        <v>4</v>
      </c>
      <c r="M8" s="32" t="n">
        <f aca="false">ROUND((H8*0.222)+(I8*0.556)+(J8*0.222),0)</f>
        <v>3</v>
      </c>
      <c r="N8" s="33" t="n">
        <f aca="false">ROUND((C8*0.15)+(D8*0.2)+(E8*0.05)+(F8*0.1667)+(G8*0.0833)+(H8*0.0778)+(I8*0.1944)+(J8*0.0778),2)</f>
        <v>3.5</v>
      </c>
    </row>
    <row r="9" customFormat="false" ht="15" hidden="false" customHeight="true" outlineLevel="0" collapsed="false">
      <c r="A9" s="34" t="s">
        <v>186</v>
      </c>
      <c r="B9" s="35" t="n">
        <v>17</v>
      </c>
      <c r="C9" s="35" t="n">
        <v>2</v>
      </c>
      <c r="D9" s="35" t="n">
        <v>2</v>
      </c>
      <c r="E9" s="35" t="n">
        <v>2</v>
      </c>
      <c r="F9" s="35" t="n">
        <v>5</v>
      </c>
      <c r="G9" s="35" t="n">
        <v>3</v>
      </c>
      <c r="H9" s="35" t="n">
        <v>4</v>
      </c>
      <c r="I9" s="35" t="n">
        <v>5</v>
      </c>
      <c r="J9" s="35" t="n">
        <v>2</v>
      </c>
      <c r="K9" s="30" t="n">
        <f aca="false">ROUND((C9*0.375)+(D9*0.5)+(E9*0.125),0)</f>
        <v>2</v>
      </c>
      <c r="L9" s="31" t="n">
        <f aca="false">ROUND((F9*0.667)+(G9*0.333),0)</f>
        <v>4</v>
      </c>
      <c r="M9" s="32" t="n">
        <f aca="false">ROUND((H9*0.222)+(I9*0.556)+(J9*0.222),0)</f>
        <v>4</v>
      </c>
      <c r="N9" s="33" t="n">
        <f aca="false">ROUND((C9*0.15)+(D9*0.2)+(E9*0.05)+(F9*0.1667)+(G9*0.0833)+(H9*0.0778)+(I9*0.1944)+(J9*0.0778),2)</f>
        <v>3.32</v>
      </c>
    </row>
    <row r="10" customFormat="false" ht="15" hidden="false" customHeight="true" outlineLevel="0" collapsed="false">
      <c r="A10" s="28" t="s">
        <v>187</v>
      </c>
      <c r="B10" s="29" t="n">
        <v>4</v>
      </c>
      <c r="C10" s="29" t="n">
        <v>3</v>
      </c>
      <c r="D10" s="29" t="n">
        <v>5</v>
      </c>
      <c r="E10" s="29" t="n">
        <v>3</v>
      </c>
      <c r="F10" s="29" t="n">
        <v>2</v>
      </c>
      <c r="G10" s="29" t="n">
        <v>5</v>
      </c>
      <c r="H10" s="29" t="n">
        <v>2</v>
      </c>
      <c r="I10" s="29" t="n">
        <v>3</v>
      </c>
      <c r="J10" s="29" t="n">
        <v>3</v>
      </c>
      <c r="K10" s="30" t="n">
        <f aca="false">ROUND((C10*0.375)+(D10*0.5)+(E10*0.125),0)</f>
        <v>4</v>
      </c>
      <c r="L10" s="31" t="n">
        <f aca="false">ROUND((F10*0.667)+(G10*0.333),0)</f>
        <v>3</v>
      </c>
      <c r="M10" s="32" t="n">
        <f aca="false">ROUND((H10*0.222)+(I10*0.556)+(J10*0.222),0)</f>
        <v>3</v>
      </c>
      <c r="N10" s="33" t="n">
        <f aca="false">ROUND((C10*0.15)+(D10*0.2)+(E10*0.05)+(F10*0.1667)+(G10*0.0833)+(H10*0.0778)+(I10*0.1944)+(J10*0.0778),2)</f>
        <v>3.32</v>
      </c>
    </row>
    <row r="11" customFormat="false" ht="15" hidden="false" customHeight="true" outlineLevel="0" collapsed="false">
      <c r="A11" s="34" t="s">
        <v>188</v>
      </c>
      <c r="B11" s="35" t="n">
        <v>11</v>
      </c>
      <c r="C11" s="35" t="n">
        <v>4</v>
      </c>
      <c r="D11" s="35" t="n">
        <v>5</v>
      </c>
      <c r="E11" s="35" t="n">
        <v>4</v>
      </c>
      <c r="F11" s="35" t="n">
        <v>1</v>
      </c>
      <c r="G11" s="35" t="n">
        <v>3</v>
      </c>
      <c r="H11" s="35" t="n">
        <v>1</v>
      </c>
      <c r="I11" s="35" t="n">
        <v>2</v>
      </c>
      <c r="J11" s="35" t="n">
        <v>4</v>
      </c>
      <c r="K11" s="30" t="n">
        <f aca="false">ROUND((C11*0.375)+(D11*0.5)+(E11*0.125),0)</f>
        <v>5</v>
      </c>
      <c r="L11" s="31" t="n">
        <f aca="false">ROUND((F11*0.667)+(G11*0.333),0)</f>
        <v>2</v>
      </c>
      <c r="M11" s="32" t="n">
        <f aca="false">ROUND((H11*0.222)+(I11*0.556)+(J11*0.222),0)</f>
        <v>2</v>
      </c>
      <c r="N11" s="33" t="n">
        <f aca="false">ROUND((C11*0.15)+(D11*0.2)+(E11*0.05)+(F11*0.1667)+(G11*0.0833)+(H11*0.0778)+(I11*0.1944)+(J11*0.0778),2)</f>
        <v>2.99</v>
      </c>
    </row>
    <row r="12" customFormat="false" ht="15" hidden="false" customHeight="true" outlineLevel="0" collapsed="false">
      <c r="A12" s="28" t="s">
        <v>189</v>
      </c>
      <c r="B12" s="29" t="n">
        <v>0</v>
      </c>
      <c r="C12" s="29" t="n">
        <v>0</v>
      </c>
      <c r="D12" s="29" t="n">
        <v>3</v>
      </c>
      <c r="E12" s="29" t="n">
        <v>3</v>
      </c>
      <c r="F12" s="29" t="n">
        <v>3</v>
      </c>
      <c r="G12" s="29" t="n">
        <v>2</v>
      </c>
      <c r="H12" s="29" t="n">
        <v>4</v>
      </c>
      <c r="I12" s="29" t="n">
        <v>2</v>
      </c>
      <c r="J12" s="29" t="n">
        <v>4</v>
      </c>
      <c r="K12" s="30" t="n">
        <f aca="false">ROUND((C12*0.375)+(D12*0.5)+(E12*0.125),0)</f>
        <v>2</v>
      </c>
      <c r="L12" s="31" t="n">
        <f aca="false">ROUND((F12*0.667)+(G12*0.333),0)</f>
        <v>3</v>
      </c>
      <c r="M12" s="32" t="n">
        <f aca="false">ROUND((H12*0.222)+(I12*0.556)+(J12*0.222),0)</f>
        <v>3</v>
      </c>
      <c r="N12" s="33" t="n">
        <f aca="false">ROUND((C12*0.15)+(D12*0.2)+(E12*0.05)+(F12*0.1667)+(G12*0.0833)+(H12*0.0778)+(I12*0.1944)+(J12*0.0778),2)</f>
        <v>2.43</v>
      </c>
    </row>
    <row r="13" customFormat="false" ht="15" hidden="false" customHeight="true" outlineLevel="0" collapsed="false">
      <c r="A13" s="34" t="s">
        <v>190</v>
      </c>
      <c r="B13" s="35" t="n">
        <v>31</v>
      </c>
      <c r="C13" s="35" t="n">
        <v>2</v>
      </c>
      <c r="D13" s="35" t="n">
        <v>5</v>
      </c>
      <c r="E13" s="35" t="n">
        <v>3</v>
      </c>
      <c r="F13" s="35" t="n">
        <v>4</v>
      </c>
      <c r="G13" s="35" t="n">
        <v>5</v>
      </c>
      <c r="H13" s="35" t="n">
        <v>1</v>
      </c>
      <c r="I13" s="35" t="n">
        <v>1</v>
      </c>
      <c r="J13" s="35" t="n">
        <v>5</v>
      </c>
      <c r="K13" s="30" t="n">
        <f aca="false">ROUND((C13*0.375)+(D13*0.5)+(E13*0.125),0)</f>
        <v>4</v>
      </c>
      <c r="L13" s="31" t="n">
        <f aca="false">ROUND((F13*0.667)+(G13*0.333),0)</f>
        <v>4</v>
      </c>
      <c r="M13" s="32" t="n">
        <f aca="false">ROUND((H13*0.222)+(I13*0.556)+(J13*0.222),0)</f>
        <v>2</v>
      </c>
      <c r="N13" s="33" t="n">
        <f aca="false">ROUND((C13*0.15)+(D13*0.2)+(E13*0.05)+(F13*0.1667)+(G13*0.0833)+(H13*0.0778)+(I13*0.1944)+(J13*0.0778),2)</f>
        <v>3.19</v>
      </c>
    </row>
    <row r="14" customFormat="false" ht="15" hidden="false" customHeight="true" outlineLevel="0" collapsed="false">
      <c r="A14" s="28" t="s">
        <v>191</v>
      </c>
      <c r="B14" s="29" t="n">
        <v>5</v>
      </c>
      <c r="C14" s="29" t="n">
        <v>2</v>
      </c>
      <c r="D14" s="29" t="n">
        <v>3</v>
      </c>
      <c r="E14" s="29" t="n">
        <v>4</v>
      </c>
      <c r="F14" s="29" t="n">
        <v>4</v>
      </c>
      <c r="G14" s="29" t="n">
        <v>4</v>
      </c>
      <c r="H14" s="29" t="n">
        <v>2</v>
      </c>
      <c r="I14" s="29" t="n">
        <v>3</v>
      </c>
      <c r="J14" s="29" t="n">
        <v>5</v>
      </c>
      <c r="K14" s="30" t="n">
        <f aca="false">ROUND((C14*0.375)+(D14*0.5)+(E14*0.125),0)</f>
        <v>3</v>
      </c>
      <c r="L14" s="31" t="n">
        <f aca="false">ROUND((F14*0.667)+(G14*0.333),0)</f>
        <v>4</v>
      </c>
      <c r="M14" s="32" t="n">
        <f aca="false">ROUND((H14*0.222)+(I14*0.556)+(J14*0.222),0)</f>
        <v>3</v>
      </c>
      <c r="N14" s="33" t="n">
        <f aca="false">ROUND((C14*0.15)+(D14*0.2)+(E14*0.05)+(F14*0.1667)+(G14*0.0833)+(H14*0.0778)+(I14*0.1944)+(J14*0.0778),2)</f>
        <v>3.23</v>
      </c>
    </row>
    <row r="15" customFormat="false" ht="15" hidden="false" customHeight="true" outlineLevel="0" collapsed="false">
      <c r="A15" s="34" t="s">
        <v>192</v>
      </c>
      <c r="B15" s="35" t="n">
        <v>8</v>
      </c>
      <c r="C15" s="35" t="n">
        <v>3</v>
      </c>
      <c r="D15" s="35" t="n">
        <v>3</v>
      </c>
      <c r="E15" s="35" t="n">
        <v>2</v>
      </c>
      <c r="F15" s="35" t="n">
        <v>4</v>
      </c>
      <c r="G15" s="35" t="n">
        <v>4</v>
      </c>
      <c r="H15" s="35" t="n">
        <v>3</v>
      </c>
      <c r="I15" s="35" t="n">
        <v>3</v>
      </c>
      <c r="J15" s="35" t="n">
        <v>2</v>
      </c>
      <c r="K15" s="30" t="n">
        <f aca="false">ROUND((C15*0.375)+(D15*0.5)+(E15*0.125),0)</f>
        <v>3</v>
      </c>
      <c r="L15" s="31" t="n">
        <f aca="false">ROUND((F15*0.667)+(G15*0.333),0)</f>
        <v>4</v>
      </c>
      <c r="M15" s="32" t="n">
        <f aca="false">ROUND((H15*0.222)+(I15*0.556)+(J15*0.222),0)</f>
        <v>3</v>
      </c>
      <c r="N15" s="33" t="n">
        <f aca="false">ROUND((C15*0.15)+(D15*0.2)+(E15*0.05)+(F15*0.1667)+(G15*0.0833)+(H15*0.0778)+(I15*0.1944)+(J15*0.0778),2)</f>
        <v>3.12</v>
      </c>
    </row>
    <row r="16" customFormat="false" ht="15" hidden="false" customHeight="true" outlineLevel="0" collapsed="false">
      <c r="A16" s="28" t="s">
        <v>193</v>
      </c>
      <c r="B16" s="29" t="n">
        <v>1</v>
      </c>
      <c r="C16" s="29" t="n">
        <v>1</v>
      </c>
      <c r="D16" s="29" t="n">
        <v>4</v>
      </c>
      <c r="E16" s="29" t="n">
        <v>1</v>
      </c>
      <c r="F16" s="29" t="n">
        <v>3</v>
      </c>
      <c r="G16" s="29" t="n">
        <v>4</v>
      </c>
      <c r="H16" s="29" t="n">
        <v>3</v>
      </c>
      <c r="I16" s="29" t="n">
        <v>2</v>
      </c>
      <c r="J16" s="29" t="n">
        <v>3</v>
      </c>
      <c r="K16" s="30" t="n">
        <f aca="false">ROUND((C16*0.375)+(D16*0.5)+(E16*0.125),0)</f>
        <v>3</v>
      </c>
      <c r="L16" s="31" t="n">
        <f aca="false">ROUND((F16*0.667)+(G16*0.333),0)</f>
        <v>3</v>
      </c>
      <c r="M16" s="32" t="n">
        <f aca="false">ROUND((H16*0.222)+(I16*0.556)+(J16*0.222),0)</f>
        <v>2</v>
      </c>
      <c r="N16" s="33" t="n">
        <f aca="false">ROUND((C16*0.15)+(D16*0.2)+(E16*0.05)+(F16*0.1667)+(G16*0.0833)+(H16*0.0778)+(I16*0.1944)+(J16*0.0778),2)</f>
        <v>2.69</v>
      </c>
    </row>
    <row r="17" customFormat="false" ht="15" hidden="false" customHeight="true" outlineLevel="0" collapsed="false">
      <c r="A17" s="34" t="s">
        <v>194</v>
      </c>
      <c r="B17" s="35" t="n">
        <v>5</v>
      </c>
      <c r="C17" s="35" t="n">
        <v>1</v>
      </c>
      <c r="D17" s="35" t="n">
        <v>2</v>
      </c>
      <c r="E17" s="35" t="n">
        <v>5</v>
      </c>
      <c r="F17" s="35" t="n">
        <v>4</v>
      </c>
      <c r="G17" s="35" t="n">
        <v>3</v>
      </c>
      <c r="H17" s="35" t="n">
        <v>4</v>
      </c>
      <c r="I17" s="35" t="n">
        <v>2</v>
      </c>
      <c r="J17" s="35" t="n">
        <v>3</v>
      </c>
      <c r="K17" s="30" t="n">
        <f aca="false">ROUND((C17*0.375)+(D17*0.5)+(E17*0.125),0)</f>
        <v>2</v>
      </c>
      <c r="L17" s="31" t="n">
        <f aca="false">ROUND((F17*0.667)+(G17*0.333),0)</f>
        <v>4</v>
      </c>
      <c r="M17" s="32" t="n">
        <f aca="false">ROUND((H17*0.222)+(I17*0.556)+(J17*0.222),0)</f>
        <v>3</v>
      </c>
      <c r="N17" s="33" t="n">
        <f aca="false">ROUND((C17*0.15)+(D17*0.2)+(E17*0.05)+(F17*0.1667)+(G17*0.0833)+(H17*0.0778)+(I17*0.1944)+(J17*0.0778),2)</f>
        <v>2.65</v>
      </c>
    </row>
    <row r="18" customFormat="false" ht="15" hidden="false" customHeight="true" outlineLevel="0" collapsed="false">
      <c r="A18" s="28" t="s">
        <v>195</v>
      </c>
      <c r="B18" s="29" t="n">
        <v>1</v>
      </c>
      <c r="C18" s="29" t="n">
        <v>1</v>
      </c>
      <c r="D18" s="29" t="n">
        <v>5</v>
      </c>
      <c r="E18" s="29" t="n">
        <v>1</v>
      </c>
      <c r="F18" s="29" t="n">
        <v>5</v>
      </c>
      <c r="G18" s="29" t="n">
        <v>5</v>
      </c>
      <c r="H18" s="29" t="n">
        <v>1</v>
      </c>
      <c r="I18" s="29" t="n">
        <v>3</v>
      </c>
      <c r="J18" s="29" t="n">
        <v>3</v>
      </c>
      <c r="K18" s="30" t="n">
        <f aca="false">ROUND((C18*0.375)+(D18*0.5)+(E18*0.125),0)</f>
        <v>3</v>
      </c>
      <c r="L18" s="31" t="n">
        <f aca="false">ROUND((F18*0.667)+(G18*0.333),0)</f>
        <v>5</v>
      </c>
      <c r="M18" s="32" t="n">
        <f aca="false">ROUND((H18*0.222)+(I18*0.556)+(J18*0.222),0)</f>
        <v>3</v>
      </c>
      <c r="N18" s="33" t="n">
        <f aca="false">ROUND((C18*0.15)+(D18*0.2)+(E18*0.05)+(F18*0.1667)+(G18*0.0833)+(H18*0.0778)+(I18*0.1944)+(J18*0.0778),2)</f>
        <v>3.34</v>
      </c>
    </row>
    <row r="19" customFormat="false" ht="15" hidden="false" customHeight="true" outlineLevel="0" collapsed="false">
      <c r="A19" s="34" t="s">
        <v>196</v>
      </c>
      <c r="B19" s="35" t="n">
        <v>13</v>
      </c>
      <c r="C19" s="35" t="n">
        <v>2</v>
      </c>
      <c r="D19" s="35" t="n">
        <v>5</v>
      </c>
      <c r="E19" s="35" t="n">
        <v>4</v>
      </c>
      <c r="F19" s="35" t="n">
        <v>4</v>
      </c>
      <c r="G19" s="35" t="n">
        <v>1</v>
      </c>
      <c r="H19" s="35" t="n">
        <v>2</v>
      </c>
      <c r="I19" s="35" t="n">
        <v>1</v>
      </c>
      <c r="J19" s="35" t="n">
        <v>5</v>
      </c>
      <c r="K19" s="30" t="n">
        <f aca="false">ROUND((C19*0.375)+(D19*0.5)+(E19*0.125),0)</f>
        <v>4</v>
      </c>
      <c r="L19" s="31" t="n">
        <f aca="false">ROUND((F19*0.667)+(G19*0.333),0)</f>
        <v>3</v>
      </c>
      <c r="M19" s="32" t="n">
        <f aca="false">ROUND((H19*0.222)+(I19*0.556)+(J19*0.222),0)</f>
        <v>2</v>
      </c>
      <c r="N19" s="33" t="n">
        <f aca="false">ROUND((C19*0.15)+(D19*0.2)+(E19*0.05)+(F19*0.1667)+(G19*0.0833)+(H19*0.0778)+(I19*0.1944)+(J19*0.0778),2)</f>
        <v>2.99</v>
      </c>
    </row>
    <row r="20" customFormat="false" ht="15" hidden="false" customHeight="true" outlineLevel="0" collapsed="false">
      <c r="A20" s="28" t="s">
        <v>197</v>
      </c>
      <c r="B20" s="29" t="n">
        <v>1</v>
      </c>
      <c r="C20" s="29" t="n">
        <v>1</v>
      </c>
      <c r="D20" s="29" t="n">
        <v>1</v>
      </c>
      <c r="E20" s="29" t="n">
        <v>3</v>
      </c>
      <c r="F20" s="29" t="n">
        <v>4</v>
      </c>
      <c r="G20" s="29" t="n">
        <v>4</v>
      </c>
      <c r="H20" s="29" t="n">
        <v>4</v>
      </c>
      <c r="I20" s="29" t="n">
        <v>3</v>
      </c>
      <c r="J20" s="29" t="n">
        <v>1</v>
      </c>
      <c r="K20" s="30" t="n">
        <f aca="false">ROUND((C20*0.375)+(D20*0.5)+(E20*0.125),0)</f>
        <v>1</v>
      </c>
      <c r="L20" s="31" t="n">
        <f aca="false">ROUND((F20*0.667)+(G20*0.333),0)</f>
        <v>4</v>
      </c>
      <c r="M20" s="32" t="n">
        <f aca="false">ROUND((H20*0.222)+(I20*0.556)+(J20*0.222),0)</f>
        <v>3</v>
      </c>
      <c r="N20" s="33" t="n">
        <f aca="false">ROUND((C20*0.15)+(D20*0.2)+(E20*0.05)+(F20*0.1667)+(G20*0.0833)+(H20*0.0778)+(I20*0.1944)+(J20*0.0778),2)</f>
        <v>2.47</v>
      </c>
    </row>
    <row r="21" customFormat="false" ht="15" hidden="false" customHeight="true" outlineLevel="0" collapsed="false">
      <c r="A21" s="34" t="s">
        <v>198</v>
      </c>
      <c r="B21" s="35" t="n">
        <v>6</v>
      </c>
      <c r="C21" s="35" t="n">
        <v>2</v>
      </c>
      <c r="D21" s="35" t="n">
        <v>4</v>
      </c>
      <c r="E21" s="35" t="n">
        <v>1</v>
      </c>
      <c r="F21" s="35" t="n">
        <v>5</v>
      </c>
      <c r="G21" s="35" t="n">
        <v>4</v>
      </c>
      <c r="H21" s="35" t="n">
        <v>1</v>
      </c>
      <c r="I21" s="35" t="n">
        <v>1</v>
      </c>
      <c r="J21" s="35" t="n">
        <v>4</v>
      </c>
      <c r="K21" s="30" t="n">
        <f aca="false">ROUND((C21*0.375)+(D21*0.5)+(E21*0.125),0)</f>
        <v>3</v>
      </c>
      <c r="L21" s="31" t="n">
        <f aca="false">ROUND((F21*0.667)+(G21*0.333),0)</f>
        <v>5</v>
      </c>
      <c r="M21" s="32" t="n">
        <f aca="false">ROUND((H21*0.222)+(I21*0.556)+(J21*0.222),0)</f>
        <v>2</v>
      </c>
      <c r="N21" s="33" t="n">
        <f aca="false">ROUND((C21*0.15)+(D21*0.2)+(E21*0.05)+(F21*0.1667)+(G21*0.0833)+(H21*0.0778)+(I21*0.1944)+(J21*0.0778),2)</f>
        <v>2.9</v>
      </c>
    </row>
    <row r="22" customFormat="false" ht="15" hidden="false" customHeight="true" outlineLevel="0" collapsed="false">
      <c r="A22" s="28" t="s">
        <v>199</v>
      </c>
      <c r="B22" s="29" t="n">
        <v>2</v>
      </c>
      <c r="C22" s="29" t="n">
        <v>1</v>
      </c>
      <c r="D22" s="29" t="n">
        <v>2</v>
      </c>
      <c r="E22" s="29" t="n">
        <v>2</v>
      </c>
      <c r="F22" s="29" t="n">
        <v>5</v>
      </c>
      <c r="G22" s="29" t="n">
        <v>4</v>
      </c>
      <c r="H22" s="29" t="n">
        <v>3</v>
      </c>
      <c r="I22" s="29" t="n">
        <v>1</v>
      </c>
      <c r="J22" s="29" t="n">
        <v>5</v>
      </c>
      <c r="K22" s="30" t="n">
        <f aca="false">ROUND((C22*0.375)+(D22*0.5)+(E22*0.125),0)</f>
        <v>2</v>
      </c>
      <c r="L22" s="31" t="n">
        <f aca="false">ROUND((F22*0.667)+(G22*0.333),0)</f>
        <v>5</v>
      </c>
      <c r="M22" s="32" t="n">
        <f aca="false">ROUND((H22*0.222)+(I22*0.556)+(J22*0.222),0)</f>
        <v>2</v>
      </c>
      <c r="N22" s="33" t="n">
        <f aca="false">ROUND((C22*0.15)+(D22*0.2)+(E22*0.05)+(F22*0.1667)+(G22*0.0833)+(H22*0.0778)+(I22*0.1944)+(J22*0.0778),2)</f>
        <v>2.63</v>
      </c>
    </row>
    <row r="23" customFormat="false" ht="15" hidden="false" customHeight="true" outlineLevel="0" collapsed="false">
      <c r="A23" s="34" t="s">
        <v>200</v>
      </c>
      <c r="B23" s="35" t="n">
        <v>3</v>
      </c>
      <c r="C23" s="35" t="n">
        <v>1</v>
      </c>
      <c r="D23" s="35" t="n">
        <v>4</v>
      </c>
      <c r="E23" s="35" t="n">
        <v>1</v>
      </c>
      <c r="F23" s="35" t="n">
        <v>4</v>
      </c>
      <c r="G23" s="35" t="n">
        <v>3</v>
      </c>
      <c r="H23" s="35" t="n">
        <v>2</v>
      </c>
      <c r="I23" s="35" t="n">
        <v>2</v>
      </c>
      <c r="J23" s="35" t="n">
        <v>3</v>
      </c>
      <c r="K23" s="30" t="n">
        <f aca="false">ROUND((C23*0.375)+(D23*0.5)+(E23*0.125),0)</f>
        <v>3</v>
      </c>
      <c r="L23" s="31" t="n">
        <f aca="false">ROUND((F23*0.667)+(G23*0.333),0)</f>
        <v>4</v>
      </c>
      <c r="M23" s="32" t="n">
        <f aca="false">ROUND((H23*0.222)+(I23*0.556)+(J23*0.222),0)</f>
        <v>2</v>
      </c>
      <c r="N23" s="33" t="n">
        <f aca="false">ROUND((C23*0.15)+(D23*0.2)+(E23*0.05)+(F23*0.1667)+(G23*0.0833)+(H23*0.0778)+(I23*0.1944)+(J23*0.0778),2)</f>
        <v>2.69</v>
      </c>
    </row>
    <row r="24" customFormat="false" ht="15" hidden="false" customHeight="true" outlineLevel="0" collapsed="false">
      <c r="A24" s="28" t="s">
        <v>201</v>
      </c>
      <c r="B24" s="29" t="n">
        <v>1</v>
      </c>
      <c r="C24" s="29" t="n">
        <v>2</v>
      </c>
      <c r="D24" s="29" t="n">
        <v>5</v>
      </c>
      <c r="E24" s="29" t="n">
        <v>1</v>
      </c>
      <c r="F24" s="29" t="n">
        <v>2</v>
      </c>
      <c r="G24" s="29" t="n">
        <v>4</v>
      </c>
      <c r="H24" s="29" t="n">
        <v>2</v>
      </c>
      <c r="I24" s="29" t="n">
        <v>2</v>
      </c>
      <c r="J24" s="29" t="n">
        <v>4</v>
      </c>
      <c r="K24" s="30" t="n">
        <f aca="false">ROUND((C24*0.375)+(D24*0.5)+(E24*0.125),0)</f>
        <v>3</v>
      </c>
      <c r="L24" s="31" t="n">
        <f aca="false">ROUND((F24*0.667)+(G24*0.333),0)</f>
        <v>3</v>
      </c>
      <c r="M24" s="32" t="n">
        <f aca="false">ROUND((H24*0.222)+(I24*0.556)+(J24*0.222),0)</f>
        <v>2</v>
      </c>
      <c r="N24" s="33" t="n">
        <f aca="false">ROUND((C24*0.15)+(D24*0.2)+(E24*0.05)+(F24*0.1667)+(G24*0.0833)+(H24*0.0778)+(I24*0.1944)+(J24*0.0778),2)</f>
        <v>2.87</v>
      </c>
    </row>
    <row r="25" customFormat="false" ht="15" hidden="false" customHeight="true" outlineLevel="0" collapsed="false">
      <c r="A25" s="34" t="s">
        <v>202</v>
      </c>
      <c r="B25" s="35" t="n">
        <v>4</v>
      </c>
      <c r="C25" s="35" t="n">
        <v>2</v>
      </c>
      <c r="D25" s="35" t="n">
        <v>2</v>
      </c>
      <c r="E25" s="35" t="n">
        <v>3</v>
      </c>
      <c r="F25" s="35" t="n">
        <v>3</v>
      </c>
      <c r="G25" s="35" t="n">
        <v>3</v>
      </c>
      <c r="H25" s="35" t="n">
        <v>3</v>
      </c>
      <c r="I25" s="35" t="n">
        <v>2</v>
      </c>
      <c r="J25" s="35" t="n">
        <v>2</v>
      </c>
      <c r="K25" s="30" t="n">
        <f aca="false">ROUND((C25*0.375)+(D25*0.5)+(E25*0.125),0)</f>
        <v>2</v>
      </c>
      <c r="L25" s="31" t="n">
        <f aca="false">ROUND((F25*0.667)+(G25*0.333),0)</f>
        <v>3</v>
      </c>
      <c r="M25" s="32" t="n">
        <f aca="false">ROUND((H25*0.222)+(I25*0.556)+(J25*0.222),0)</f>
        <v>2</v>
      </c>
      <c r="N25" s="33" t="n">
        <f aca="false">ROUND((C25*0.15)+(D25*0.2)+(E25*0.05)+(F25*0.1667)+(G25*0.0833)+(H25*0.0778)+(I25*0.1944)+(J25*0.0778),2)</f>
        <v>2.38</v>
      </c>
    </row>
    <row r="26" customFormat="false" ht="15" hidden="false" customHeight="true" outlineLevel="0" collapsed="false">
      <c r="A26" s="28" t="s">
        <v>203</v>
      </c>
      <c r="B26" s="29" t="n">
        <v>32</v>
      </c>
      <c r="C26" s="29" t="n">
        <v>3</v>
      </c>
      <c r="D26" s="29" t="n">
        <v>4</v>
      </c>
      <c r="E26" s="29" t="n">
        <v>2</v>
      </c>
      <c r="F26" s="29" t="n">
        <v>3</v>
      </c>
      <c r="G26" s="29" t="n">
        <v>4</v>
      </c>
      <c r="H26" s="29" t="n">
        <v>3</v>
      </c>
      <c r="I26" s="29" t="n">
        <v>2</v>
      </c>
      <c r="J26" s="29" t="n">
        <v>2</v>
      </c>
      <c r="K26" s="30" t="n">
        <f aca="false">ROUND((C26*0.375)+(D26*0.5)+(E26*0.125),0)</f>
        <v>3</v>
      </c>
      <c r="L26" s="31" t="n">
        <f aca="false">ROUND((F26*0.667)+(G26*0.333),0)</f>
        <v>3</v>
      </c>
      <c r="M26" s="32" t="n">
        <f aca="false">ROUND((H26*0.222)+(I26*0.556)+(J26*0.222),0)</f>
        <v>2</v>
      </c>
      <c r="N26" s="33" t="n">
        <f aca="false">ROUND((C26*0.15)+(D26*0.2)+(E26*0.05)+(F26*0.1667)+(G26*0.0833)+(H26*0.0778)+(I26*0.1944)+(J26*0.0778),2)</f>
        <v>2.96</v>
      </c>
    </row>
    <row r="27" customFormat="false" ht="15" hidden="false" customHeight="true" outlineLevel="0" collapsed="false">
      <c r="A27" s="34" t="s">
        <v>204</v>
      </c>
      <c r="B27" s="35" t="n">
        <v>14</v>
      </c>
      <c r="C27" s="35" t="n">
        <v>3</v>
      </c>
      <c r="D27" s="35" t="n">
        <v>5</v>
      </c>
      <c r="E27" s="35" t="n">
        <v>3</v>
      </c>
      <c r="F27" s="35" t="n">
        <v>3</v>
      </c>
      <c r="G27" s="35" t="n">
        <v>3</v>
      </c>
      <c r="H27" s="35" t="n">
        <v>2</v>
      </c>
      <c r="I27" s="35" t="n">
        <v>2</v>
      </c>
      <c r="J27" s="35" t="n">
        <v>1</v>
      </c>
      <c r="K27" s="30" t="n">
        <f aca="false">ROUND((C27*0.375)+(D27*0.5)+(E27*0.125),0)</f>
        <v>4</v>
      </c>
      <c r="L27" s="31" t="n">
        <f aca="false">ROUND((F27*0.667)+(G27*0.333),0)</f>
        <v>3</v>
      </c>
      <c r="M27" s="32" t="n">
        <f aca="false">ROUND((H27*0.222)+(I27*0.556)+(J27*0.222),0)</f>
        <v>2</v>
      </c>
      <c r="N27" s="33" t="n">
        <f aca="false">ROUND((C27*0.15)+(D27*0.2)+(E27*0.05)+(F27*0.1667)+(G27*0.0833)+(H27*0.0778)+(I27*0.1944)+(J27*0.0778),2)</f>
        <v>2.97</v>
      </c>
    </row>
    <row r="28" customFormat="false" ht="15" hidden="false" customHeight="true" outlineLevel="0" collapsed="false">
      <c r="A28" s="28" t="s">
        <v>205</v>
      </c>
      <c r="B28" s="29" t="n">
        <v>1</v>
      </c>
      <c r="C28" s="29" t="n">
        <v>3</v>
      </c>
      <c r="D28" s="29" t="n">
        <v>2</v>
      </c>
      <c r="E28" s="29" t="n">
        <v>1</v>
      </c>
      <c r="F28" s="29" t="n">
        <v>5</v>
      </c>
      <c r="G28" s="29" t="n">
        <v>1</v>
      </c>
      <c r="H28" s="29" t="n">
        <v>2</v>
      </c>
      <c r="I28" s="29" t="n">
        <v>2</v>
      </c>
      <c r="J28" s="29" t="n">
        <v>2</v>
      </c>
      <c r="K28" s="30" t="n">
        <f aca="false">ROUND((C28*0.375)+(D28*0.5)+(E28*0.125),0)</f>
        <v>2</v>
      </c>
      <c r="L28" s="31" t="n">
        <f aca="false">ROUND((F28*0.667)+(G28*0.333),0)</f>
        <v>4</v>
      </c>
      <c r="M28" s="32" t="n">
        <f aca="false">ROUND((H28*0.222)+(I28*0.556)+(J28*0.222),0)</f>
        <v>2</v>
      </c>
      <c r="N28" s="33" t="n">
        <f aca="false">ROUND((C28*0.15)+(D28*0.2)+(E28*0.05)+(F28*0.1667)+(G28*0.0833)+(H28*0.0778)+(I28*0.1944)+(J28*0.0778),2)</f>
        <v>2.52</v>
      </c>
    </row>
    <row r="29" customFormat="false" ht="15" hidden="false" customHeight="true" outlineLevel="0" collapsed="false">
      <c r="A29" s="34" t="s">
        <v>206</v>
      </c>
      <c r="B29" s="35" t="n">
        <v>1</v>
      </c>
      <c r="C29" s="35" t="n">
        <v>1</v>
      </c>
      <c r="D29" s="35" t="n">
        <v>1</v>
      </c>
      <c r="E29" s="35" t="n">
        <v>4</v>
      </c>
      <c r="F29" s="35" t="n">
        <v>4</v>
      </c>
      <c r="G29" s="35" t="n">
        <v>4</v>
      </c>
      <c r="H29" s="35" t="n">
        <v>4</v>
      </c>
      <c r="I29" s="35" t="n">
        <v>1</v>
      </c>
      <c r="J29" s="35" t="n">
        <v>4</v>
      </c>
      <c r="K29" s="30" t="n">
        <f aca="false">ROUND((C29*0.375)+(D29*0.5)+(E29*0.125),0)</f>
        <v>1</v>
      </c>
      <c r="L29" s="31" t="n">
        <f aca="false">ROUND((F29*0.667)+(G29*0.333),0)</f>
        <v>4</v>
      </c>
      <c r="M29" s="32" t="n">
        <f aca="false">ROUND((H29*0.222)+(I29*0.556)+(J29*0.222),0)</f>
        <v>2</v>
      </c>
      <c r="N29" s="33" t="n">
        <f aca="false">ROUND((C29*0.15)+(D29*0.2)+(E29*0.05)+(F29*0.1667)+(G29*0.0833)+(H29*0.0778)+(I29*0.1944)+(J29*0.0778),2)</f>
        <v>2.37</v>
      </c>
    </row>
  </sheetData>
  <conditionalFormatting sqref="N2:N29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8"/>
    <col collapsed="false" customWidth="true" hidden="false" outlineLevel="0" max="3" min="3" style="1" width="50"/>
    <col collapsed="false" customWidth="true" hidden="false" outlineLevel="0" max="5" min="4" style="1" width="10"/>
    <col collapsed="false" customWidth="true" hidden="false" outlineLevel="0" max="7" min="7" style="1" width="16"/>
  </cols>
  <sheetData>
    <row r="1" customFormat="false" ht="16.5" hidden="false" customHeight="true" outlineLevel="0" collapsed="false">
      <c r="A1" s="36" t="s">
        <v>207</v>
      </c>
      <c r="B1" s="36"/>
      <c r="C1" s="36"/>
      <c r="D1" s="36"/>
      <c r="E1" s="36"/>
      <c r="F1" s="36"/>
      <c r="G1" s="36"/>
    </row>
    <row r="2" customFormat="false" ht="27.75" hidden="false" customHeight="true" outlineLevel="0" collapsed="false">
      <c r="A2" s="25" t="s">
        <v>0</v>
      </c>
      <c r="B2" s="25" t="s">
        <v>35</v>
      </c>
      <c r="C2" s="25" t="s">
        <v>208</v>
      </c>
      <c r="D2" s="25" t="s">
        <v>209</v>
      </c>
      <c r="E2" s="25" t="s">
        <v>1</v>
      </c>
      <c r="F2" s="25" t="s">
        <v>2</v>
      </c>
    </row>
    <row r="3" customFormat="false" ht="45" hidden="false" customHeight="true" outlineLevel="0" collapsed="false">
      <c r="A3" s="35" t="n">
        <v>7</v>
      </c>
      <c r="B3" s="34" t="s">
        <v>210</v>
      </c>
      <c r="C3" s="34" t="s">
        <v>211</v>
      </c>
      <c r="D3" s="35" t="n">
        <v>4</v>
      </c>
      <c r="E3" s="37" t="n">
        <v>0.15</v>
      </c>
      <c r="F3" s="38" t="n">
        <f aca="false">D3*E3</f>
        <v>0.6</v>
      </c>
    </row>
    <row r="4" customFormat="false" ht="45" hidden="false" customHeight="true" outlineLevel="0" collapsed="false">
      <c r="A4" s="29" t="n">
        <v>1</v>
      </c>
      <c r="B4" s="28" t="s">
        <v>212</v>
      </c>
      <c r="C4" s="28" t="s">
        <v>213</v>
      </c>
      <c r="D4" s="29" t="n">
        <v>4</v>
      </c>
      <c r="E4" s="39" t="n">
        <v>0.2</v>
      </c>
      <c r="F4" s="40" t="n">
        <f aca="false">D4*E4</f>
        <v>0.8</v>
      </c>
    </row>
    <row r="5" customFormat="false" ht="45" hidden="false" customHeight="true" outlineLevel="0" collapsed="false">
      <c r="A5" s="35" t="n">
        <v>4</v>
      </c>
      <c r="B5" s="34" t="s">
        <v>214</v>
      </c>
      <c r="C5" s="34" t="s">
        <v>215</v>
      </c>
      <c r="D5" s="35" t="n">
        <v>5</v>
      </c>
      <c r="E5" s="37" t="n">
        <v>0.05</v>
      </c>
      <c r="F5" s="38" t="n">
        <f aca="false">D5*E5</f>
        <v>0.25</v>
      </c>
    </row>
    <row r="6" customFormat="false" ht="45" hidden="false" customHeight="true" outlineLevel="0" collapsed="false">
      <c r="A6" s="41"/>
      <c r="B6" s="42" t="s">
        <v>7</v>
      </c>
      <c r="C6" s="42"/>
      <c r="D6" s="41"/>
      <c r="E6" s="41"/>
      <c r="F6" s="43" t="n">
        <f aca="false">SUM(D3:D5)</f>
        <v>13</v>
      </c>
    </row>
    <row r="7" customFormat="false" ht="45" hidden="false" customHeight="true" outlineLevel="0" collapsed="false">
      <c r="A7" s="35" t="n">
        <v>3</v>
      </c>
      <c r="B7" s="34" t="s">
        <v>216</v>
      </c>
      <c r="C7" s="34" t="s">
        <v>217</v>
      </c>
      <c r="D7" s="35" t="n">
        <v>2</v>
      </c>
      <c r="E7" s="37" t="n">
        <v>0.1</v>
      </c>
      <c r="F7" s="38" t="n">
        <f aca="false">D7*E7</f>
        <v>0.2</v>
      </c>
    </row>
    <row r="8" customFormat="false" ht="45" hidden="false" customHeight="true" outlineLevel="0" collapsed="false">
      <c r="A8" s="29" t="n">
        <v>5</v>
      </c>
      <c r="B8" s="28" t="s">
        <v>218</v>
      </c>
      <c r="C8" s="28" t="s">
        <v>219</v>
      </c>
      <c r="D8" s="29" t="n">
        <v>3</v>
      </c>
      <c r="E8" s="39" t="n">
        <v>0.05</v>
      </c>
      <c r="F8" s="40" t="n">
        <f aca="false">D8*E8</f>
        <v>0.15</v>
      </c>
    </row>
    <row r="9" customFormat="false" ht="45" hidden="false" customHeight="true" outlineLevel="0" collapsed="false">
      <c r="A9" s="41"/>
      <c r="B9" s="42" t="s">
        <v>20</v>
      </c>
      <c r="C9" s="42"/>
      <c r="D9" s="41"/>
      <c r="E9" s="41"/>
      <c r="F9" s="43" t="n">
        <f aca="false">SUM(D7:D8)</f>
        <v>5</v>
      </c>
    </row>
    <row r="10" customFormat="false" ht="45" hidden="false" customHeight="true" outlineLevel="0" collapsed="false">
      <c r="A10" s="29" t="n">
        <v>6</v>
      </c>
      <c r="B10" s="28" t="s">
        <v>220</v>
      </c>
      <c r="C10" s="28" t="s">
        <v>221</v>
      </c>
      <c r="D10" s="29" t="n">
        <v>1</v>
      </c>
      <c r="E10" s="39" t="n">
        <v>0.1</v>
      </c>
      <c r="F10" s="40" t="n">
        <f aca="false">D10*E10</f>
        <v>0.1</v>
      </c>
    </row>
    <row r="11" customFormat="false" ht="45" hidden="false" customHeight="true" outlineLevel="0" collapsed="false">
      <c r="A11" s="35" t="n">
        <v>2</v>
      </c>
      <c r="B11" s="34" t="s">
        <v>222</v>
      </c>
      <c r="C11" s="34" t="s">
        <v>223</v>
      </c>
      <c r="D11" s="35" t="n">
        <v>4</v>
      </c>
      <c r="E11" s="37" t="n">
        <v>0.25</v>
      </c>
      <c r="F11" s="38" t="n">
        <f aca="false">D11*E11</f>
        <v>1</v>
      </c>
    </row>
    <row r="12" customFormat="false" ht="45" hidden="false" customHeight="true" outlineLevel="0" collapsed="false">
      <c r="A12" s="29" t="n">
        <v>8</v>
      </c>
      <c r="B12" s="28" t="s">
        <v>224</v>
      </c>
      <c r="C12" s="28" t="s">
        <v>225</v>
      </c>
      <c r="D12" s="29" t="n">
        <v>2</v>
      </c>
      <c r="E12" s="39" t="n">
        <v>0.1</v>
      </c>
      <c r="F12" s="40" t="n">
        <f aca="false">D12*E12</f>
        <v>0.2</v>
      </c>
    </row>
    <row r="13" customFormat="false" ht="45" hidden="false" customHeight="true" outlineLevel="0" collapsed="false">
      <c r="A13" s="41"/>
      <c r="B13" s="42" t="s">
        <v>27</v>
      </c>
      <c r="C13" s="42"/>
      <c r="D13" s="41"/>
      <c r="E13" s="41"/>
      <c r="F13" s="43" t="n">
        <f aca="false">SUM(D10:D12)</f>
        <v>7</v>
      </c>
    </row>
    <row r="14" customFormat="false" ht="45" hidden="false" customHeight="true" outlineLevel="0" collapsed="false">
      <c r="A14" s="44" t="s">
        <v>226</v>
      </c>
      <c r="B14" s="44"/>
      <c r="C14" s="44"/>
      <c r="G14" s="45" t="n">
        <f aca="false">SUM(G3:G13)</f>
        <v>0</v>
      </c>
    </row>
  </sheetData>
  <mergeCells count="2">
    <mergeCell ref="A1:G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2026-02-28T20:55:08Z</dcterms:created>
  <dc:creator>openpyxl</dc:creator>
  <dc:description/>
  <dc:language>en-US</dc:language>
  <cp:lastModifiedBy/>
  <dcterms:modified xsi:type="dcterms:W3CDTF">2026-02-28T21:06:10Z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